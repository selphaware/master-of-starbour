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 Index" sheetId="1" state="visible" r:id="rId1"/>
    <sheet xmlns:r="http://schemas.openxmlformats.org/officeDocument/2006/relationships" name="1 Overview" sheetId="2" state="visible" r:id="rId2"/>
    <sheet xmlns:r="http://schemas.openxmlformats.org/officeDocument/2006/relationships" name="2 Architecture" sheetId="3" state="visible" r:id="rId3"/>
    <sheet xmlns:r="http://schemas.openxmlformats.org/officeDocument/2006/relationships" name="3 T1 Command" sheetId="4" state="visible" r:id="rId4"/>
    <sheet xmlns:r="http://schemas.openxmlformats.org/officeDocument/2006/relationships" name="4 T2 Grid" sheetId="5" state="visible" r:id="rId5"/>
    <sheet xmlns:r="http://schemas.openxmlformats.org/officeDocument/2006/relationships" name="5 T3 Output" sheetId="6" state="visible" r:id="rId6"/>
    <sheet xmlns:r="http://schemas.openxmlformats.org/officeDocument/2006/relationships" name="5b T4 Status" sheetId="7" state="visible" r:id="rId7"/>
    <sheet xmlns:r="http://schemas.openxmlformats.org/officeDocument/2006/relationships" name="6 World Grids" sheetId="8" state="visible" r:id="rId8"/>
    <sheet xmlns:r="http://schemas.openxmlformats.org/officeDocument/2006/relationships" name="7 Stellar" sheetId="9" state="visible" r:id="rId9"/>
    <sheet xmlns:r="http://schemas.openxmlformats.org/officeDocument/2006/relationships" name="8 Hazards" sheetId="10" state="visible" r:id="rId10"/>
    <sheet xmlns:r="http://schemas.openxmlformats.org/officeDocument/2006/relationships" name="9 Ships" sheetId="11" state="visible" r:id="rId11"/>
    <sheet xmlns:r="http://schemas.openxmlformats.org/officeDocument/2006/relationships" name="10 Captain" sheetId="12" state="visible" r:id="rId12"/>
    <sheet xmlns:r="http://schemas.openxmlformats.org/officeDocument/2006/relationships" name="11 Items &amp; Planets" sheetId="13" state="visible" r:id="rId13"/>
    <sheet xmlns:r="http://schemas.openxmlformats.org/officeDocument/2006/relationships" name="12 Trade &amp; Economy" sheetId="14" state="visible" r:id="rId14"/>
    <sheet xmlns:r="http://schemas.openxmlformats.org/officeDocument/2006/relationships" name="13 Combat" sheetId="15" state="visible" r:id="rId15"/>
    <sheet xmlns:r="http://schemas.openxmlformats.org/officeDocument/2006/relationships" name="14 Fear &amp; Respect" sheetId="16" state="visible" r:id="rId16"/>
    <sheet xmlns:r="http://schemas.openxmlformats.org/officeDocument/2006/relationships" name="15 Config Keys" sheetId="17" state="visible" r:id="rId17"/>
    <sheet xmlns:r="http://schemas.openxmlformats.org/officeDocument/2006/relationships" name="16 Open Questions" sheetId="18" state="visible" r:id="rId18"/>
    <sheet xmlns:r="http://schemas.openxmlformats.org/officeDocument/2006/relationships" name="17 Decisions" sheetId="19" state="visible" r:id="rId19"/>
    <sheet xmlns:r="http://schemas.openxmlformats.org/officeDocument/2006/relationships" name="18 Build &amp; Release" sheetId="20" state="visible" r:id="rId20"/>
    <sheet xmlns:r="http://schemas.openxmlformats.org/officeDocument/2006/relationships" name="Source v1" sheetId="21" state="visible" r:id="rId21"/>
  </sheets>
  <definedNames>
    <definedName name="_xlnm._FilterDatabase" localSheetId="1" hidden="1">'1 Overview'!$A$6:$F$24</definedName>
    <definedName name="_xlnm._FilterDatabase" localSheetId="2" hidden="1">'2 Architecture'!$A$6:$G$12</definedName>
    <definedName name="_xlnm._FilterDatabase" localSheetId="3" hidden="1">'3 T1 Command'!$A$14:$I$37</definedName>
    <definedName name="_xlnm._FilterDatabase" localSheetId="4" hidden="1">'4 T2 Grid'!$A$15:$I$19</definedName>
    <definedName name="_xlnm._FilterDatabase" localSheetId="5" hidden="1">'5 T3 Output'!$A$14:$I$34</definedName>
    <definedName name="_xlnm._FilterDatabase" localSheetId="6" hidden="1">'5b T4 Status'!$A$12:$I$20</definedName>
    <definedName name="_xlnm._FilterDatabase" localSheetId="7" hidden="1">'6 World Grids'!$A$6:$H$10</definedName>
    <definedName name="_xlnm._FilterDatabase" localSheetId="8" hidden="1">'7 Stellar'!$A$6:$H$10</definedName>
    <definedName name="_xlnm._FilterDatabase" localSheetId="9" hidden="1">'8 Hazards'!$A$6:$I$17</definedName>
    <definedName name="_xlnm._FilterDatabase" localSheetId="10" hidden="1">'9 Ships'!$A$6:$H$17</definedName>
    <definedName name="_xlnm._FilterDatabase" localSheetId="11" hidden="1">'10 Captain'!$A$6:$H$17</definedName>
    <definedName name="_xlnm._FilterDatabase" localSheetId="12" hidden="1">'11 Items &amp; Planets'!$A$6:$H$12</definedName>
    <definedName name="_xlnm._FilterDatabase" localSheetId="13" hidden="1">'12 Trade &amp; Economy'!$A$6:$H$17</definedName>
    <definedName name="_xlnm._FilterDatabase" localSheetId="14" hidden="1">'13 Combat'!$A$6:$I$11</definedName>
    <definedName name="_xlnm._FilterDatabase" localSheetId="15" hidden="1">'14 Fear &amp; Respect'!$A$7:$I$19</definedName>
    <definedName name="_xlnm._FilterDatabase" localSheetId="16" hidden="1">'15 Config Keys'!$A$7:$K$71</definedName>
    <definedName name="_xlnm._FilterDatabase" localSheetId="17" hidden="1">'16 Open Questions'!$A$5:$G$45</definedName>
    <definedName name="_xlnm._FilterDatabase" localSheetId="18" hidden="1">'17 Decisions'!$A$5:$F$64</definedName>
    <definedName name="_xlnm._FilterDatabase" localSheetId="19" hidden="1">'18 Build &amp; Release'!$A$6:$G$13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0"/>
    </font>
    <font>
      <name val="Arial"/>
      <charset val="1"/>
      <family val="0"/>
      <color rgb="FF0563C1"/>
      <sz val="10"/>
      <u val="single"/>
    </font>
    <font>
      <name val="Arial"/>
      <charset val="1"/>
      <family val="0"/>
      <b val="1"/>
      <sz val="10"/>
    </font>
    <font>
      <name val="Arial"/>
      <charset val="1"/>
      <family val="0"/>
      <sz val="10"/>
    </font>
    <font>
      <name val="Arial"/>
      <charset val="1"/>
      <family val="0"/>
      <color rgb="FF808080"/>
      <sz val="8"/>
    </font>
    <font>
      <name val="Arial"/>
      <charset val="1"/>
      <family val="0"/>
      <b val="1"/>
      <color rgb="FFFFFFFF"/>
      <sz val="10"/>
    </font>
  </fonts>
  <fills count="23">
    <fill>
      <patternFill/>
    </fill>
    <fill>
      <patternFill patternType="gray125"/>
    </fill>
    <fill>
      <patternFill patternType="solid">
        <fgColor rgb="FFD9E1F2"/>
        <bgColor rgb="FFD6DCE4"/>
      </patternFill>
    </fill>
    <fill>
      <patternFill patternType="solid">
        <fgColor rgb="FF1F3864"/>
        <bgColor rgb="FF1F4E79"/>
      </patternFill>
    </fill>
    <fill>
      <patternFill patternType="solid">
        <fgColor rgb="FF2E75B6"/>
        <bgColor rgb="FF0563C1"/>
      </patternFill>
    </fill>
    <fill>
      <patternFill patternType="solid">
        <fgColor rgb="FF138D90"/>
        <bgColor rgb="FF339966"/>
      </patternFill>
    </fill>
    <fill>
      <patternFill patternType="solid">
        <fgColor rgb="FF7030A0"/>
        <bgColor rgb="FF5B2C6F"/>
      </patternFill>
    </fill>
    <fill>
      <patternFill patternType="solid">
        <fgColor rgb="FF548235"/>
        <bgColor rgb="FF339966"/>
      </patternFill>
    </fill>
    <fill>
      <patternFill patternType="solid">
        <fgColor rgb="FFC55A11"/>
        <bgColor rgb="FF9C5700"/>
      </patternFill>
    </fill>
    <fill>
      <patternFill patternType="solid">
        <fgColor rgb="FF44546A"/>
        <bgColor rgb="FF595959"/>
      </patternFill>
    </fill>
    <fill>
      <patternFill patternType="solid">
        <fgColor rgb="FFC00000"/>
        <bgColor rgb="FF800000"/>
      </patternFill>
    </fill>
    <fill>
      <patternFill patternType="solid">
        <fgColor rgb="FF375623"/>
        <bgColor rgb="FF44546A"/>
      </patternFill>
    </fill>
    <fill>
      <patternFill patternType="solid">
        <fgColor rgb="FF262626"/>
        <bgColor rgb="FF1F3864"/>
      </patternFill>
    </fill>
    <fill>
      <patternFill patternType="solid">
        <fgColor rgb="FF808080"/>
        <bgColor rgb="FF969696"/>
      </patternFill>
    </fill>
    <fill>
      <patternFill patternType="solid">
        <fgColor rgb="FFFFFF99"/>
        <bgColor rgb="FFFFEB9C"/>
      </patternFill>
    </fill>
    <fill>
      <patternFill patternType="solid">
        <fgColor rgb="FFDDEBF7"/>
        <bgColor rgb="FFD5F0F0"/>
      </patternFill>
    </fill>
    <fill>
      <patternFill patternType="solid">
        <fgColor rgb="FFD5F0F0"/>
        <bgColor rgb="FFDDEBF7"/>
      </patternFill>
    </fill>
    <fill>
      <patternFill patternType="solid">
        <fgColor rgb="FFE9DDF3"/>
        <bgColor rgb="FFE4D5F0"/>
      </patternFill>
    </fill>
    <fill>
      <patternFill patternType="solid">
        <fgColor rgb="FFE2EFDA"/>
        <bgColor rgb="FFE7E6E6"/>
      </patternFill>
    </fill>
    <fill>
      <patternFill patternType="solid">
        <fgColor rgb="FFFBE5D6"/>
        <bgColor rgb="FFE7E6E6"/>
      </patternFill>
    </fill>
    <fill>
      <patternFill patternType="solid">
        <fgColor rgb="FFD6DCE4"/>
        <bgColor rgb="FFD9E1F2"/>
      </patternFill>
    </fill>
    <fill>
      <patternFill patternType="solid">
        <fgColor rgb="FFF2F2F2"/>
        <bgColor rgb="FFEDEDED"/>
      </patternFill>
    </fill>
    <fill>
      <patternFill patternType="solid">
        <fgColor rgb="FFE7E6E6"/>
        <bgColor rgb="FFEDEDED"/>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7" fillId="2"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5" fillId="0" borderId="0" applyAlignment="1" pivotButton="0" quotePrefix="0" xfId="0">
      <alignment horizontal="left" vertical="top" wrapText="1"/>
    </xf>
    <xf numFmtId="0" fontId="10" fillId="3" borderId="1" applyAlignment="1" pivotButton="0" quotePrefix="0" xfId="0">
      <alignment horizontal="left" vertical="top" wrapText="1"/>
    </xf>
    <xf numFmtId="0" fontId="6" fillId="0" borderId="1" applyAlignment="1" pivotButton="0" quotePrefix="0" xfId="0">
      <alignment horizontal="general" vertical="bottom"/>
    </xf>
    <xf numFmtId="0" fontId="10" fillId="4" borderId="1" applyAlignment="1" pivotButton="0" quotePrefix="0" xfId="0">
      <alignment horizontal="center" vertical="center" wrapText="1"/>
    </xf>
    <xf numFmtId="0" fontId="8" fillId="0" borderId="1" applyAlignment="1" pivotButton="0" quotePrefix="0" xfId="0">
      <alignment horizontal="general" vertical="bottom"/>
    </xf>
    <xf numFmtId="0" fontId="8" fillId="0" borderId="1" applyAlignment="1" pivotButton="0" quotePrefix="0" xfId="0">
      <alignment horizontal="center" vertical="center" wrapText="1"/>
    </xf>
    <xf numFmtId="9" fontId="8" fillId="0" borderId="1" applyAlignment="1" pivotButton="0" quotePrefix="0" xfId="0">
      <alignment horizontal="center" vertical="center" wrapText="1"/>
    </xf>
    <xf numFmtId="0" fontId="10" fillId="5" borderId="1" applyAlignment="1" pivotButton="0" quotePrefix="0" xfId="0">
      <alignment horizontal="center" vertical="center" wrapText="1"/>
    </xf>
    <xf numFmtId="0" fontId="10"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0" fillId="8" borderId="1" applyAlignment="1" pivotButton="0" quotePrefix="0" xfId="0">
      <alignment horizontal="center" vertical="center" wrapText="1"/>
    </xf>
    <xf numFmtId="0" fontId="10" fillId="9" borderId="1" applyAlignment="1" pivotButton="0" quotePrefix="0" xfId="0">
      <alignment horizontal="center" vertical="center" wrapText="1"/>
    </xf>
    <xf numFmtId="0" fontId="10" fillId="10" borderId="1" applyAlignment="1" pivotButton="0" quotePrefix="0" xfId="0">
      <alignment horizontal="center" vertical="center" wrapText="1"/>
    </xf>
    <xf numFmtId="0" fontId="10" fillId="11" borderId="1" applyAlignment="1" pivotButton="0" quotePrefix="0" xfId="0">
      <alignment horizontal="center" vertical="center" wrapText="1"/>
    </xf>
    <xf numFmtId="0" fontId="10" fillId="12" borderId="1" applyAlignment="1" pivotButton="0" quotePrefix="0" xfId="0">
      <alignment horizontal="center" vertical="center" wrapText="1"/>
    </xf>
    <xf numFmtId="0" fontId="10" fillId="13" borderId="1" applyAlignment="1" pivotButton="0" quotePrefix="0" xfId="0">
      <alignment horizontal="center" vertical="center" wrapText="1"/>
    </xf>
    <xf numFmtId="0" fontId="7" fillId="2" borderId="1" applyAlignment="1" pivotButton="0" quotePrefix="0" xfId="0">
      <alignment horizontal="general" vertical="bottom"/>
    </xf>
    <xf numFmtId="0" fontId="0" fillId="2" borderId="1" applyAlignment="1" pivotButton="0" quotePrefix="0" xfId="0">
      <alignment horizontal="general" vertical="bottom"/>
    </xf>
    <xf numFmtId="0" fontId="7" fillId="2" borderId="1" applyAlignment="1" pivotButton="0" quotePrefix="0" xfId="0">
      <alignment horizontal="center" vertical="center" wrapText="1"/>
    </xf>
    <xf numFmtId="9" fontId="7" fillId="2" borderId="1" applyAlignment="1" pivotButton="0" quotePrefix="0" xfId="0">
      <alignment horizontal="center" vertical="center" wrapText="1"/>
    </xf>
    <xf numFmtId="0" fontId="7" fillId="14" borderId="0" applyAlignment="1" pivotButton="0" quotePrefix="0" xfId="0">
      <alignment horizontal="general" vertical="bottom"/>
    </xf>
    <xf numFmtId="0" fontId="8" fillId="0" borderId="0" applyAlignment="1" pivotButton="0" quotePrefix="0" xfId="0">
      <alignment horizontal="left" vertical="top" wrapText="1"/>
    </xf>
    <xf numFmtId="0" fontId="7" fillId="0" borderId="0" applyAlignment="1" pivotButton="0" quotePrefix="0" xfId="0">
      <alignment horizontal="general" vertical="bottom"/>
    </xf>
    <xf numFmtId="0" fontId="7" fillId="15" borderId="0" applyAlignment="1" pivotButton="0" quotePrefix="0" xfId="0">
      <alignment horizontal="general" vertical="bottom"/>
    </xf>
    <xf numFmtId="0" fontId="10" fillId="4" borderId="1" applyAlignment="1" pivotButton="0" quotePrefix="0" xfId="0">
      <alignment horizontal="left" vertical="top" wrapText="1"/>
    </xf>
    <xf numFmtId="0" fontId="7" fillId="15" borderId="1" applyAlignment="1" pivotButton="0" quotePrefix="0" xfId="0">
      <alignment horizontal="center" vertical="center" wrapText="1"/>
    </xf>
    <xf numFmtId="0" fontId="8" fillId="0" borderId="0" applyAlignment="1" pivotButton="0" quotePrefix="0" xfId="0">
      <alignment horizontal="center" vertical="center" wrapText="1"/>
    </xf>
    <xf numFmtId="0" fontId="7" fillId="16" borderId="1" applyAlignment="1" pivotButton="0" quotePrefix="0" xfId="0">
      <alignment horizontal="center" vertical="center" wrapText="1"/>
    </xf>
    <xf numFmtId="0" fontId="5" fillId="0" borderId="0" applyAlignment="1" pivotButton="0" quotePrefix="0" xfId="0">
      <alignment horizontal="general" vertical="bottom"/>
    </xf>
    <xf numFmtId="0" fontId="7" fillId="16" borderId="1" applyAlignment="1" pivotButton="0" quotePrefix="0" xfId="0">
      <alignment horizontal="left" vertical="top" wrapText="1"/>
    </xf>
    <xf numFmtId="0" fontId="8" fillId="14" borderId="1" applyAlignment="1" pivotButton="0" quotePrefix="0" xfId="0">
      <alignment horizontal="left" vertical="top" wrapText="1"/>
    </xf>
    <xf numFmtId="0" fontId="7" fillId="16" borderId="0" applyAlignment="1" pivotButton="0" quotePrefix="0" xfId="0">
      <alignment horizontal="general" vertical="bottom"/>
    </xf>
    <xf numFmtId="0" fontId="10" fillId="5" borderId="1" applyAlignment="1" pivotButton="0" quotePrefix="0" xfId="0">
      <alignment horizontal="left" vertical="top" wrapText="1"/>
    </xf>
    <xf numFmtId="0" fontId="7" fillId="17" borderId="0" applyAlignment="1" pivotButton="0" quotePrefix="0" xfId="0">
      <alignment horizontal="general" vertical="bottom"/>
    </xf>
    <xf numFmtId="0" fontId="10" fillId="6" borderId="1" applyAlignment="1" pivotButton="0" quotePrefix="0" xfId="0">
      <alignment horizontal="left" vertical="top" wrapText="1"/>
    </xf>
    <xf numFmtId="0" fontId="8" fillId="14" borderId="1" applyAlignment="1" pivotButton="0" quotePrefix="0" xfId="0">
      <alignment horizontal="general" vertical="bottom"/>
    </xf>
    <xf numFmtId="0" fontId="0" fillId="14" borderId="1" applyAlignment="1" pivotButton="0" quotePrefix="0" xfId="0">
      <alignment horizontal="general" vertical="bottom"/>
    </xf>
    <xf numFmtId="0" fontId="10" fillId="6" borderId="1" applyAlignment="1" pivotButton="0" quotePrefix="0" xfId="0">
      <alignment horizontal="general" vertical="bottom"/>
    </xf>
    <xf numFmtId="164" fontId="8" fillId="0" borderId="1" applyAlignment="1" pivotButton="0" quotePrefix="0" xfId="0">
      <alignment horizontal="general" vertical="bottom"/>
    </xf>
    <xf numFmtId="3" fontId="8" fillId="0" borderId="1" applyAlignment="1" pivotButton="0" quotePrefix="0" xfId="0">
      <alignment horizontal="general" vertical="bottom"/>
    </xf>
    <xf numFmtId="2" fontId="8" fillId="0" borderId="1" applyAlignment="1" pivotButton="0" quotePrefix="0" xfId="0">
      <alignment horizontal="general" vertical="bottom"/>
    </xf>
    <xf numFmtId="0" fontId="0" fillId="0" borderId="0" applyAlignment="1" pivotButton="0" quotePrefix="0" xfId="0">
      <alignment horizontal="general" vertical="bottom"/>
    </xf>
    <xf numFmtId="0" fontId="7" fillId="18" borderId="0" applyAlignment="1" pivotButton="0" quotePrefix="0" xfId="0">
      <alignment horizontal="general" vertical="bottom"/>
    </xf>
    <xf numFmtId="0" fontId="10" fillId="7" borderId="1" applyAlignment="1" pivotButton="0" quotePrefix="0" xfId="0">
      <alignment horizontal="left" vertical="top" wrapText="1"/>
    </xf>
    <xf numFmtId="0" fontId="10" fillId="7" borderId="1" applyAlignment="1" pivotButton="0" quotePrefix="0" xfId="0">
      <alignment horizontal="general" vertical="bottom"/>
    </xf>
    <xf numFmtId="0" fontId="7" fillId="19" borderId="0" applyAlignment="1" pivotButton="0" quotePrefix="0" xfId="0">
      <alignment horizontal="general" vertical="bottom"/>
    </xf>
    <xf numFmtId="0" fontId="10" fillId="8" borderId="1" applyAlignment="1" pivotButton="0" quotePrefix="0" xfId="0">
      <alignment horizontal="left" vertical="top" wrapText="1"/>
    </xf>
    <xf numFmtId="0" fontId="7" fillId="20" borderId="0" applyAlignment="1" pivotButton="0" quotePrefix="0" xfId="0">
      <alignment horizontal="general" vertical="bottom"/>
    </xf>
    <xf numFmtId="0" fontId="10" fillId="9" borderId="1" applyAlignment="1" pivotButton="0" quotePrefix="0" xfId="0">
      <alignment horizontal="left" vertical="top" wrapText="1"/>
    </xf>
    <xf numFmtId="0" fontId="10" fillId="10" borderId="1" applyAlignment="1" pivotButton="0" quotePrefix="0" xfId="0">
      <alignment horizontal="left" vertical="top" wrapText="1"/>
    </xf>
    <xf numFmtId="0" fontId="10" fillId="11" borderId="1" applyAlignment="1" pivotButton="0" quotePrefix="0" xfId="0">
      <alignment horizontal="left" vertical="top" wrapText="1"/>
    </xf>
    <xf numFmtId="0" fontId="7" fillId="21" borderId="0" applyAlignment="1" pivotButton="0" quotePrefix="0" xfId="0">
      <alignment horizontal="general" vertical="bottom"/>
    </xf>
    <xf numFmtId="0" fontId="10" fillId="12" borderId="1" applyAlignment="1" pivotButton="0" quotePrefix="0" xfId="0">
      <alignment horizontal="left" vertical="top" wrapText="1"/>
    </xf>
    <xf numFmtId="0" fontId="10" fillId="13" borderId="1"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left" vertical="top" wrapText="1"/>
    </xf>
    <xf numFmtId="0" fontId="8" fillId="0" borderId="0" applyAlignment="1" pivotButton="0" quotePrefix="0" xfId="0">
      <alignment horizontal="left" vertical="top" wrapText="1"/>
    </xf>
    <xf numFmtId="0" fontId="7" fillId="2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7" fillId="2" borderId="1" applyAlignment="1" pivotButton="0" quotePrefix="0" xfId="0">
      <alignment horizontal="left" vertical="top" wrapText="1"/>
    </xf>
    <xf numFmtId="0" fontId="0" fillId="0" borderId="4" pivotButton="0" quotePrefix="0" xfId="0"/>
    <xf numFmtId="0" fontId="8" fillId="0" borderId="1" applyAlignment="1" pivotButton="0" quotePrefix="0" xfId="0">
      <alignment horizontal="left" vertical="top" wrapText="1"/>
    </xf>
    <xf numFmtId="0" fontId="0" fillId="0" borderId="5" pivotButton="0" quotePrefix="0" xfId="0"/>
    <xf numFmtId="0" fontId="9" fillId="0" borderId="1" applyAlignment="1" pivotButton="0" quotePrefix="0" xfId="0">
      <alignment horizontal="left" vertical="top" wrapText="1"/>
    </xf>
    <xf numFmtId="0" fontId="5" fillId="0" borderId="0" applyAlignment="1" pivotButton="0" quotePrefix="0" xfId="0">
      <alignment horizontal="left" vertical="top" wrapText="1"/>
    </xf>
    <xf numFmtId="0" fontId="10" fillId="3" borderId="1" applyAlignment="1" pivotButton="0" quotePrefix="0" xfId="0">
      <alignment horizontal="left" vertical="top" wrapText="1"/>
    </xf>
    <xf numFmtId="0" fontId="6" fillId="0" borderId="1" applyAlignment="1" pivotButton="0" quotePrefix="0" xfId="0">
      <alignment horizontal="general" vertical="bottom"/>
    </xf>
    <xf numFmtId="0" fontId="10" fillId="4" borderId="1" applyAlignment="1" pivotButton="0" quotePrefix="0" xfId="0">
      <alignment horizontal="center" vertical="center" wrapText="1"/>
    </xf>
    <xf numFmtId="0" fontId="8" fillId="0" borderId="1" applyAlignment="1" pivotButton="0" quotePrefix="0" xfId="0">
      <alignment horizontal="general" vertical="bottom"/>
    </xf>
    <xf numFmtId="0" fontId="8" fillId="0" borderId="1" applyAlignment="1" pivotButton="0" quotePrefix="0" xfId="0">
      <alignment horizontal="center" vertical="center" wrapText="1"/>
    </xf>
    <xf numFmtId="9" fontId="8" fillId="0" borderId="1" applyAlignment="1" pivotButton="0" quotePrefix="0" xfId="0">
      <alignment horizontal="center" vertical="center" wrapText="1"/>
    </xf>
    <xf numFmtId="0" fontId="10" fillId="5" borderId="1" applyAlignment="1" pivotButton="0" quotePrefix="0" xfId="0">
      <alignment horizontal="center" vertical="center" wrapText="1"/>
    </xf>
    <xf numFmtId="0" fontId="10"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0" fillId="8" borderId="1" applyAlignment="1" pivotButton="0" quotePrefix="0" xfId="0">
      <alignment horizontal="center" vertical="center" wrapText="1"/>
    </xf>
    <xf numFmtId="0" fontId="10" fillId="9" borderId="1" applyAlignment="1" pivotButton="0" quotePrefix="0" xfId="0">
      <alignment horizontal="center" vertical="center" wrapText="1"/>
    </xf>
    <xf numFmtId="0" fontId="10" fillId="10" borderId="1" applyAlignment="1" pivotButton="0" quotePrefix="0" xfId="0">
      <alignment horizontal="center" vertical="center" wrapText="1"/>
    </xf>
    <xf numFmtId="0" fontId="10" fillId="11" borderId="1" applyAlignment="1" pivotButton="0" quotePrefix="0" xfId="0">
      <alignment horizontal="center" vertical="center" wrapText="1"/>
    </xf>
    <xf numFmtId="0" fontId="10" fillId="12" borderId="1" applyAlignment="1" pivotButton="0" quotePrefix="0" xfId="0">
      <alignment horizontal="center" vertical="center" wrapText="1"/>
    </xf>
    <xf numFmtId="0" fontId="10" fillId="13" borderId="1" applyAlignment="1" pivotButton="0" quotePrefix="0" xfId="0">
      <alignment horizontal="center" vertical="center" wrapText="1"/>
    </xf>
    <xf numFmtId="0" fontId="7" fillId="2" borderId="1" applyAlignment="1" pivotButton="0" quotePrefix="0" xfId="0">
      <alignment horizontal="general" vertical="bottom"/>
    </xf>
    <xf numFmtId="0" fontId="0" fillId="2" borderId="1" applyAlignment="1" pivotButton="0" quotePrefix="0" xfId="0">
      <alignment horizontal="general" vertical="bottom"/>
    </xf>
    <xf numFmtId="0" fontId="7" fillId="2" borderId="1" applyAlignment="1" pivotButton="0" quotePrefix="0" xfId="0">
      <alignment horizontal="center" vertical="center" wrapText="1"/>
    </xf>
    <xf numFmtId="9" fontId="7" fillId="2" borderId="1" applyAlignment="1" pivotButton="0" quotePrefix="0" xfId="0">
      <alignment horizontal="center" vertical="center" wrapText="1"/>
    </xf>
    <xf numFmtId="0" fontId="7" fillId="14" borderId="0" applyAlignment="1" pivotButton="0" quotePrefix="0" xfId="0">
      <alignment horizontal="general" vertical="bottom"/>
    </xf>
    <xf numFmtId="0" fontId="8" fillId="0" borderId="0" applyAlignment="1" pivotButton="0" quotePrefix="0" xfId="0">
      <alignment horizontal="left" vertical="top" wrapText="1"/>
    </xf>
    <xf numFmtId="0" fontId="7" fillId="0" borderId="0" applyAlignment="1" pivotButton="0" quotePrefix="0" xfId="0">
      <alignment horizontal="general" vertical="bottom"/>
    </xf>
    <xf numFmtId="0" fontId="7" fillId="15" borderId="0" applyAlignment="1" pivotButton="0" quotePrefix="0" xfId="0">
      <alignment horizontal="general" vertical="bottom"/>
    </xf>
    <xf numFmtId="0" fontId="10" fillId="4" borderId="1" applyAlignment="1" pivotButton="0" quotePrefix="0" xfId="0">
      <alignment horizontal="left" vertical="top" wrapText="1"/>
    </xf>
    <xf numFmtId="0" fontId="7" fillId="15" borderId="1" applyAlignment="1" pivotButton="0" quotePrefix="0" xfId="0">
      <alignment horizontal="center" vertical="center" wrapText="1"/>
    </xf>
    <xf numFmtId="0" fontId="8" fillId="0" borderId="0" applyAlignment="1" pivotButton="0" quotePrefix="0" xfId="0">
      <alignment horizontal="center" vertical="center" wrapText="1"/>
    </xf>
    <xf numFmtId="0" fontId="7" fillId="16" borderId="1" applyAlignment="1" pivotButton="0" quotePrefix="0" xfId="0">
      <alignment horizontal="center" vertical="center" wrapText="1"/>
    </xf>
    <xf numFmtId="0" fontId="7" fillId="16" borderId="1" applyAlignment="1" pivotButton="0" quotePrefix="0" xfId="0">
      <alignment horizontal="left" vertical="top" wrapText="1"/>
    </xf>
    <xf numFmtId="0" fontId="8" fillId="14" borderId="1" applyAlignment="1" pivotButton="0" quotePrefix="0" xfId="0">
      <alignment horizontal="left" vertical="top" wrapText="1"/>
    </xf>
    <xf numFmtId="0" fontId="7" fillId="16" borderId="0" applyAlignment="1" pivotButton="0" quotePrefix="0" xfId="0">
      <alignment horizontal="general" vertical="bottom"/>
    </xf>
    <xf numFmtId="0" fontId="10" fillId="5" borderId="1" applyAlignment="1" pivotButton="0" quotePrefix="0" xfId="0">
      <alignment horizontal="left" vertical="top" wrapText="1"/>
    </xf>
    <xf numFmtId="0" fontId="8" fillId="0" borderId="1" applyAlignment="1" pivotButton="0" quotePrefix="0" xfId="0">
      <alignment horizontal="left" vertical="top" wrapText="1"/>
    </xf>
    <xf numFmtId="0" fontId="7" fillId="17" borderId="0" applyAlignment="1" pivotButton="0" quotePrefix="0" xfId="0">
      <alignment horizontal="general" vertical="bottom"/>
    </xf>
    <xf numFmtId="0" fontId="10" fillId="6" borderId="1" applyAlignment="1" pivotButton="0" quotePrefix="0" xfId="0">
      <alignment horizontal="left" vertical="top" wrapText="1"/>
    </xf>
    <xf numFmtId="0" fontId="8" fillId="14" borderId="1" applyAlignment="1" pivotButton="0" quotePrefix="0" xfId="0">
      <alignment horizontal="general" vertical="bottom"/>
    </xf>
    <xf numFmtId="0" fontId="0" fillId="14" borderId="1" applyAlignment="1" pivotButton="0" quotePrefix="0" xfId="0">
      <alignment horizontal="general" vertical="bottom"/>
    </xf>
    <xf numFmtId="0" fontId="10" fillId="6" borderId="1" applyAlignment="1" pivotButton="0" quotePrefix="0" xfId="0">
      <alignment horizontal="general" vertical="bottom"/>
    </xf>
    <xf numFmtId="164" fontId="8" fillId="0" borderId="1" applyAlignment="1" pivotButton="0" quotePrefix="0" xfId="0">
      <alignment horizontal="general" vertical="bottom"/>
    </xf>
    <xf numFmtId="3" fontId="8" fillId="0" borderId="1" applyAlignment="1" pivotButton="0" quotePrefix="0" xfId="0">
      <alignment horizontal="general" vertical="bottom"/>
    </xf>
    <xf numFmtId="2" fontId="8" fillId="0" borderId="1" applyAlignment="1" pivotButton="0" quotePrefix="0" xfId="0">
      <alignment horizontal="general" vertical="bottom"/>
    </xf>
    <xf numFmtId="0" fontId="7" fillId="18" borderId="0" applyAlignment="1" pivotButton="0" quotePrefix="0" xfId="0">
      <alignment horizontal="general" vertical="bottom"/>
    </xf>
    <xf numFmtId="0" fontId="10" fillId="7" borderId="1" applyAlignment="1" pivotButton="0" quotePrefix="0" xfId="0">
      <alignment horizontal="left" vertical="top" wrapText="1"/>
    </xf>
    <xf numFmtId="0" fontId="10" fillId="7" borderId="1" applyAlignment="1" pivotButton="0" quotePrefix="0" xfId="0">
      <alignment horizontal="general" vertical="bottom"/>
    </xf>
    <xf numFmtId="0" fontId="7" fillId="19" borderId="0" applyAlignment="1" pivotButton="0" quotePrefix="0" xfId="0">
      <alignment horizontal="general" vertical="bottom"/>
    </xf>
    <xf numFmtId="0" fontId="10" fillId="8" borderId="1" applyAlignment="1" pivotButton="0" quotePrefix="0" xfId="0">
      <alignment horizontal="left" vertical="top" wrapText="1"/>
    </xf>
    <xf numFmtId="0" fontId="7" fillId="20" borderId="0" applyAlignment="1" pivotButton="0" quotePrefix="0" xfId="0">
      <alignment horizontal="general" vertical="bottom"/>
    </xf>
    <xf numFmtId="0" fontId="10" fillId="9" borderId="1" applyAlignment="1" pivotButton="0" quotePrefix="0" xfId="0">
      <alignment horizontal="left" vertical="top" wrapText="1"/>
    </xf>
    <xf numFmtId="0" fontId="10" fillId="10" borderId="1" applyAlignment="1" pivotButton="0" quotePrefix="0" xfId="0">
      <alignment horizontal="left" vertical="top" wrapText="1"/>
    </xf>
    <xf numFmtId="0" fontId="10" fillId="11" borderId="1" applyAlignment="1" pivotButton="0" quotePrefix="0" xfId="0">
      <alignment horizontal="left" vertical="top" wrapText="1"/>
    </xf>
    <xf numFmtId="0" fontId="7" fillId="21" borderId="0" applyAlignment="1" pivotButton="0" quotePrefix="0" xfId="0">
      <alignment horizontal="general" vertical="bottom"/>
    </xf>
    <xf numFmtId="0" fontId="10" fillId="12" borderId="1" applyAlignment="1" pivotButton="0" quotePrefix="0" xfId="0">
      <alignment horizontal="left" vertical="top" wrapText="1"/>
    </xf>
    <xf numFmtId="0" fontId="10" fillId="13" borderId="1"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left" vertical="top" wrapText="1"/>
    </xf>
    <xf numFmtId="0" fontId="7" fillId="22" borderId="0" applyAlignment="1" pivotButton="0" quotePrefix="0" xfId="0">
      <alignment horizontal="general" vertical="bottom"/>
    </xf>
    <xf numFmtId="0" fontId="8" fillId="0" borderId="0" applyAlignment="1" pivotButton="0" quotePrefix="0" xfId="0">
      <alignment horizontal="general" vertical="bottom"/>
    </xf>
    <xf numFmtId="0" fontId="8" fillId="0" borderId="0"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2E75B6"/>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4D5F0"/>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B2C6F"/>
          <bgColor rgb="FF000000"/>
        </patternFill>
      </fill>
    </dxf>
    <dxf>
      <font>
        <color rgb="FF006100"/>
      </font>
      <fill>
        <patternFill>
          <bgColor rgb="FFC6EFCE"/>
        </patternFill>
      </fill>
    </dxf>
    <dxf>
      <font>
        <color rgb="FF5B2C6F"/>
      </font>
      <fill>
        <patternFill>
          <bgColor rgb="FFE4D5F0"/>
        </patternFill>
      </fill>
    </dxf>
    <dxf>
      <font>
        <color rgb="FF1F4E79"/>
      </font>
      <fill>
        <patternFill>
          <bgColor rgb="FFDDEBF7"/>
        </patternFill>
      </fill>
    </dxf>
    <dxf>
      <font>
        <color rgb="FF9C5700"/>
      </font>
      <fill>
        <patternFill>
          <bgColor rgb="FFFFEB9C"/>
        </patternFill>
      </fill>
    </dxf>
    <dxf>
      <font>
        <color rgb="FF595959"/>
      </font>
      <fill>
        <patternFill>
          <bgColor rgb="FFEDEDED"/>
        </patternFill>
      </fill>
    </dxf>
    <dxf>
      <fill>
        <patternFill patternType="solid">
          <fgColor rgb="FF138D90"/>
          <bgColor rgb="FF000000"/>
        </patternFill>
      </fill>
    </dxf>
    <dxf>
      <fill>
        <patternFill patternType="solid">
          <fgColor rgb="FFFFFF99"/>
          <bgColor rgb="FF000000"/>
        </patternFill>
      </fill>
    </dxf>
    <dxf>
      <fill>
        <patternFill patternType="solid">
          <fgColor rgb="FF7030A0"/>
          <bgColor rgb="FF000000"/>
        </patternFill>
      </fill>
    </dxf>
    <dxf>
      <fill>
        <patternFill patternType="solid">
          <fgColor rgb="FF548235"/>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C55A11"/>
          <bgColor rgb="FF000000"/>
        </patternFill>
      </fill>
    </dxf>
    <dxf>
      <fill>
        <patternFill patternType="solid">
          <fgColor rgb="FF44546A"/>
          <bgColor rgb="FF000000"/>
        </patternFill>
      </fill>
    </dxf>
    <dxf>
      <fill>
        <patternFill patternType="solid">
          <fgColor rgb="FFC00000"/>
          <bgColor rgb="FF000000"/>
        </patternFill>
      </fill>
    </dxf>
    <dxf>
      <fill>
        <patternFill patternType="solid">
          <fgColor rgb="FF375623"/>
          <bgColor rgb="FF000000"/>
        </patternFill>
      </fill>
    </dxf>
    <dxf>
      <fill>
        <patternFill patternType="solid">
          <fgColor rgb="FF262626"/>
          <bgColor rgb="FF000000"/>
        </patternFill>
      </fill>
    </dxf>
  </dxfs>
  <colors>
    <indexedColors>
      <rgbColor rgb="FF000000"/>
      <rgbColor rgb="FFFFFFFF"/>
      <rgbColor rgb="FFC00000"/>
      <rgbColor rgb="FF00FF00"/>
      <rgbColor rgb="FF0000FF"/>
      <rgbColor rgb="FFE2EFDA"/>
      <rgbColor rgb="FFFF00FF"/>
      <rgbColor rgb="FF00FFFF"/>
      <rgbColor rgb="FF800000"/>
      <rgbColor rgb="FF006100"/>
      <rgbColor rgb="FF000080"/>
      <rgbColor rgb="FF548235"/>
      <rgbColor rgb="FF800080"/>
      <rgbColor rgb="FF138D90"/>
      <rgbColor rgb="FFBFBFBF"/>
      <rgbColor rgb="FF808080"/>
      <rgbColor rgb="FFD9E1F2"/>
      <rgbColor rgb="FF7030A0"/>
      <rgbColor rgb="FFF2F2F2"/>
      <rgbColor rgb="FFD5F0F0"/>
      <rgbColor rgb="FF5B2C6F"/>
      <rgbColor rgb="FFFF8080"/>
      <rgbColor rgb="FF0563C1"/>
      <rgbColor rgb="FFE4D5F0"/>
      <rgbColor rgb="FF000080"/>
      <rgbColor rgb="FFFF00FF"/>
      <rgbColor rgb="FFE7E6E6"/>
      <rgbColor rgb="FF00FFFF"/>
      <rgbColor rgb="FF800080"/>
      <rgbColor rgb="FF800000"/>
      <rgbColor rgb="FF44546A"/>
      <rgbColor rgb="FF0000FF"/>
      <rgbColor rgb="FF00CCFF"/>
      <rgbColor rgb="FFDDEBF7"/>
      <rgbColor rgb="FFC6EFCE"/>
      <rgbColor rgb="FFFFFF99"/>
      <rgbColor rgb="FFD6DCE4"/>
      <rgbColor rgb="FFFBE5D6"/>
      <rgbColor rgb="FFE9DDF3"/>
      <rgbColor rgb="FFFFEB9C"/>
      <rgbColor rgb="FF2E75B6"/>
      <rgbColor rgb="FF33CCCC"/>
      <rgbColor rgb="FF99CC00"/>
      <rgbColor rgb="FFEDEDED"/>
      <rgbColor rgb="FFFF9900"/>
      <rgbColor rgb="FFC55A11"/>
      <rgbColor rgb="FF595959"/>
      <rgbColor rgb="FF969696"/>
      <rgbColor rgb="FF1F3864"/>
      <rgbColor rgb="FF339966"/>
      <rgbColor rgb="FF003300"/>
      <rgbColor rgb="FF375623"/>
      <rgbColor rgb="FF9C5700"/>
      <rgbColor rgb="FF993366"/>
      <rgbColor rgb="FF1F4E79"/>
      <rgbColor rgb="FF262626"/>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F3864"/>
    <outlinePr summaryBelow="1" summaryRight="1"/>
    <pageSetUpPr fitToPage="1"/>
  </sheetPr>
  <dimension ref="A1:K46"/>
  <sheetViews>
    <sheetView showFormulas="0" showGridLines="0" showRowColHeaders="1" showZeros="1" rightToLeft="0" tabSelected="1" showOutlineSymbols="1" defaultGridColor="1"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66" min="1" max="1"/>
    <col width="12" customWidth="1" style="66" min="2" max="2"/>
    <col width="50" customWidth="1" style="66" min="3" max="3"/>
    <col width="9" customWidth="1" style="66" min="4" max="4"/>
    <col width="10" customWidth="1" style="66" min="5" max="5"/>
    <col width="9" customWidth="1" style="66" min="6" max="6"/>
    <col width="12" customWidth="1" style="66" min="7" max="8"/>
    <col width="8" customWidth="1" style="66" min="9" max="9"/>
    <col width="10" customWidth="1" style="66" min="10" max="10"/>
    <col width="12" customWidth="1" style="66" min="11" max="11"/>
  </cols>
  <sheetData>
    <row r="1" ht="17.35" customHeight="1" s="67">
      <c r="A1" s="68" t="inlineStr">
        <is>
          <t>Master of Starbour — Design Blueprint (structured v2.3)</t>
        </is>
      </c>
    </row>
    <row r="2" ht="15" customHeight="1" s="67">
      <c r="A2" s="69" t="inlineStr">
        <is>
          <t>v2.3 · 2026-10-25 · your blueprint + chat facts (A1–A22) + your answers to Q-01…Q-37 (tab 16) + M1 playtest changes (CMD-06, CMD-21, PNL-07, D-98, D-99). Yellow = yours to fill or a calculator input. Purple 'Proposed' = Claude's placeholder awaiting your yes.</t>
        </is>
      </c>
    </row>
    <row r="3" ht="15" customHeight="1" s="67">
      <c r="A3" s="70" t="n"/>
    </row>
    <row r="4" ht="15" customHeight="1" s="67">
      <c r="A4" s="71" t="inlineStr">
        <is>
          <t>Project</t>
        </is>
      </c>
    </row>
    <row r="5" ht="19.4" customHeight="1" s="67">
      <c r="A5" s="72" t="inlineStr">
        <is>
          <t>Game</t>
        </is>
      </c>
      <c r="B5" s="73" t="n"/>
      <c r="C5" s="74" t="inlineStr">
        <is>
          <t>Master of Starbour — 'Starbour' is a pun on harbour / starship; the title is won with the ultimate secret item</t>
        </is>
      </c>
      <c r="D5" s="75" t="n"/>
      <c r="E5" s="75" t="n"/>
      <c r="F5" s="75" t="n"/>
      <c r="G5" s="75" t="n"/>
      <c r="H5" s="75" t="n"/>
      <c r="I5" s="75" t="n"/>
      <c r="J5" s="73" t="n"/>
      <c r="K5" s="76" t="inlineStr">
        <is>
          <t>Chat A1 · Ans Q-26</t>
        </is>
      </c>
    </row>
    <row r="6" ht="15" customHeight="1" s="67">
      <c r="A6" s="72" t="inlineStr">
        <is>
          <t>Repository</t>
        </is>
      </c>
      <c r="B6" s="73" t="n"/>
      <c r="C6" s="74" t="inlineStr">
        <is>
          <t>git@github.com:selphaware/master-of-starbour.git — public; code + installable; git over SSH</t>
        </is>
      </c>
      <c r="D6" s="75" t="n"/>
      <c r="E6" s="75" t="n"/>
      <c r="F6" s="75" t="n"/>
      <c r="G6" s="75" t="n"/>
      <c r="H6" s="75" t="n"/>
      <c r="I6" s="75" t="n"/>
      <c r="J6" s="73" t="n"/>
      <c r="K6" s="76" t="inlineStr">
        <is>
          <t>Chat A2–A3, A7</t>
        </is>
      </c>
    </row>
    <row r="7" ht="15" customHeight="1" s="67">
      <c r="A7" s="72" t="inlineStr">
        <is>
          <t>Local root</t>
        </is>
      </c>
      <c r="B7" s="73" t="n"/>
      <c r="C7" s="74" t="inlineStr">
        <is>
          <t>E:\CODE\master-of-starbour</t>
        </is>
      </c>
      <c r="D7" s="75" t="n"/>
      <c r="E7" s="75" t="n"/>
      <c r="F7" s="75" t="n"/>
      <c r="G7" s="75" t="n"/>
      <c r="H7" s="75" t="n"/>
      <c r="I7" s="75" t="n"/>
      <c r="J7" s="73" t="n"/>
      <c r="K7" s="76" t="inlineStr">
        <is>
          <t>Chat A6</t>
        </is>
      </c>
    </row>
    <row r="8" ht="15" customHeight="1" s="67">
      <c r="A8" s="72" t="inlineStr">
        <is>
          <t>Python</t>
        </is>
      </c>
      <c r="B8" s="73" t="n"/>
      <c r="C8" s="74" t="inlineStr">
        <is>
          <t>3.12 — venv MOS → E:\CODE\master-of-starbour\MOS\Scripts\python.exe</t>
        </is>
      </c>
      <c r="D8" s="75" t="n"/>
      <c r="E8" s="75" t="n"/>
      <c r="F8" s="75" t="n"/>
      <c r="G8" s="75" t="n"/>
      <c r="H8" s="75" t="n"/>
      <c r="I8" s="75" t="n"/>
      <c r="J8" s="73" t="n"/>
      <c r="K8" s="76" t="inlineStr">
        <is>
          <t>Chat A5</t>
        </is>
      </c>
    </row>
    <row r="9" ht="19.4" customHeight="1" s="67">
      <c r="A9" s="72" t="inlineStr">
        <is>
          <t>Target</t>
        </is>
      </c>
      <c r="B9" s="73" t="n"/>
      <c r="C9" s="74" t="inlineStr">
        <is>
          <t>Downloadable Windows 10/11 executable (PyInstaller one-folder zip, GitHub Releases)</t>
        </is>
      </c>
      <c r="D9" s="75" t="n"/>
      <c r="E9" s="75" t="n"/>
      <c r="F9" s="75" t="n"/>
      <c r="G9" s="75" t="n"/>
      <c r="H9" s="75" t="n"/>
      <c r="I9" s="75" t="n"/>
      <c r="J9" s="73" t="n"/>
      <c r="K9" s="76" t="inlineStr">
        <is>
          <t>Chat A3 · Ans Q-28</t>
        </is>
      </c>
    </row>
    <row r="10" ht="19.4" customHeight="1" s="67">
      <c r="A10" s="72" t="inlineStr">
        <is>
          <t>Win</t>
        </is>
      </c>
      <c r="B10" s="73" t="n"/>
      <c r="C10" s="74" t="inlineStr">
        <is>
          <t>Obtain the ultimate secret item → Master of Starbour: ceremony, then play carries on</t>
        </is>
      </c>
      <c r="D10" s="75" t="n"/>
      <c r="E10" s="75" t="n"/>
      <c r="F10" s="75" t="n"/>
      <c r="G10" s="75" t="n"/>
      <c r="H10" s="75" t="n"/>
      <c r="I10" s="75" t="n"/>
      <c r="J10" s="73" t="n"/>
      <c r="K10" s="76" t="inlineStr">
        <is>
          <t>Chat A4 · Ans Q-15</t>
        </is>
      </c>
    </row>
    <row r="11" ht="23.85" customHeight="1" s="67">
      <c r="A11" s="72" t="inlineStr">
        <is>
          <t>Lose</t>
        </is>
      </c>
      <c r="B11" s="73" t="n"/>
      <c r="C11" s="74" t="inlineStr">
        <is>
          <t>Only when the player's active ship is destroyed; start again with a new seed. Running out of food or water is not game over — the crew mutiny and the captain is demoted to a low-class ship</t>
        </is>
      </c>
      <c r="D11" s="75" t="n"/>
      <c r="E11" s="75" t="n"/>
      <c r="F11" s="75" t="n"/>
      <c r="G11" s="75" t="n"/>
      <c r="H11" s="75" t="n"/>
      <c r="I11" s="75" t="n"/>
      <c r="J11" s="73" t="n"/>
      <c r="K11" s="76" t="inlineStr">
        <is>
          <t>Chat A6, A10, A11</t>
        </is>
      </c>
    </row>
    <row r="12" ht="19.4" customHeight="1" s="67">
      <c r="A12" s="72" t="inlineStr">
        <is>
          <t>Style</t>
        </is>
      </c>
      <c r="B12" s="73" t="n"/>
      <c r="C12" s="74" t="inlineStr">
        <is>
          <t>Colourful throughout; four terminals + engine + launcher over ZeroMQ</t>
        </is>
      </c>
      <c r="D12" s="75" t="n"/>
      <c r="E12" s="75" t="n"/>
      <c r="F12" s="75" t="n"/>
      <c r="G12" s="75" t="n"/>
      <c r="H12" s="75" t="n"/>
      <c r="I12" s="75" t="n"/>
      <c r="J12" s="73" t="n"/>
      <c r="K12" s="76" t="inlineStr">
        <is>
          <t>Chat A8 · Ans Q-18, Q-25</t>
        </is>
      </c>
    </row>
    <row r="14" ht="15" customHeight="1" s="67">
      <c r="A14" s="71" t="inlineStr">
        <is>
          <t>Tabs &amp; progress</t>
        </is>
      </c>
    </row>
    <row r="15" ht="15" customHeight="1" s="67">
      <c r="A15" s="77" t="inlineStr">
        <is>
          <t>Live counts from each tab's Status column. Proposed = Claude's proposal awaiting your yes — say 'agreed' or change it. 'Open · no Q' = open rows citing no question (plain fill-ins only).</t>
        </is>
      </c>
    </row>
    <row r="16" ht="15" customHeight="1" s="67">
      <c r="A16" s="78" t="inlineStr">
        <is>
          <t>Tab</t>
        </is>
      </c>
      <c r="B16" s="78" t="inlineStr">
        <is>
          <t>Group</t>
        </is>
      </c>
      <c r="C16" s="78" t="inlineStr">
        <is>
          <t>What it holds</t>
        </is>
      </c>
      <c r="D16" s="78" t="inlineStr">
        <is>
          <t>Agreed</t>
        </is>
      </c>
      <c r="E16" s="78" t="inlineStr">
        <is>
          <t>Proposed</t>
        </is>
      </c>
      <c r="F16" s="78" t="inlineStr">
        <is>
          <t>Draft</t>
        </is>
      </c>
      <c r="G16" s="78" t="inlineStr">
        <is>
          <t>Needs detail</t>
        </is>
      </c>
      <c r="H16" s="78" t="inlineStr">
        <is>
          <t>Not started</t>
        </is>
      </c>
      <c r="I16" s="78" t="inlineStr">
        <is>
          <t>Rows</t>
        </is>
      </c>
      <c r="J16" s="78" t="inlineStr">
        <is>
          <t>% Agreed</t>
        </is>
      </c>
      <c r="K16" s="78" t="inlineStr">
        <is>
          <t>Open · no Q</t>
        </is>
      </c>
    </row>
    <row r="17" ht="15" customHeight="1" s="67">
      <c r="A17" s="79">
        <f>HYPERLINK("#'1 Overview'!A1","1 Overview")</f>
        <v/>
      </c>
      <c r="B17" s="80" t="inlineStr">
        <is>
          <t>Concept</t>
        </is>
      </c>
      <c r="C17" s="81" t="inlineStr">
        <is>
          <t>Game type, purpose, player goals, win/lose, turn phases</t>
        </is>
      </c>
      <c r="D17" s="82">
        <f>COUNTIF('1 Overview'!$F$7:$F$24,"Agreed")+COUNTIF('1 Overview'!$F$29:$F$37,"Agreed")</f>
        <v/>
      </c>
      <c r="E17" s="82">
        <f>COUNTIF('1 Overview'!$F$7:$F$24,"Proposed")+COUNTIF('1 Overview'!$F$29:$F$37,"Proposed")</f>
        <v/>
      </c>
      <c r="F17" s="82">
        <f>COUNTIF('1 Overview'!$F$7:$F$24,"Draft")+COUNTIF('1 Overview'!$F$29:$F$37,"Draft")</f>
        <v/>
      </c>
      <c r="G17" s="82">
        <f>COUNTIF('1 Overview'!$F$7:$F$24,"Needs detail")+COUNTIF('1 Overview'!$F$29:$F$37,"Needs detail")</f>
        <v/>
      </c>
      <c r="H17" s="82">
        <f>COUNTIF('1 Overview'!$F$7:$F$24,"Not started")+COUNTIF('1 Overview'!$F$29:$F$37,"Not started")</f>
        <v/>
      </c>
      <c r="I17" s="82">
        <f>SUM(D17:H17)</f>
        <v/>
      </c>
      <c r="J17" s="83">
        <f>IF(I17=0,0,D17/I17)</f>
        <v/>
      </c>
      <c r="K17" s="82">
        <f>COUNTIFS('1 Overview'!$F$7:$F$24,"Needs detail",'1 Overview'!$D$7:$D$24,"")+COUNTIFS('1 Overview'!$F$7:$F$24,"Not started",'1 Overview'!$D$7:$D$24,"")+COUNTIFS('1 Overview'!$F$29:$F$37,"Needs detail",'1 Overview'!$D$29:$D$37,"")+COUNTIFS('1 Overview'!$F$29:$F$37,"Not started",'1 Overview'!$D$29:$D$37,"")</f>
        <v/>
      </c>
    </row>
    <row r="18" ht="15" customHeight="1" s="67">
      <c r="A18" s="79">
        <f>HYPERLINK("#'2 Architecture'!A1","2 Architecture")</f>
        <v/>
      </c>
      <c r="B18" s="80" t="inlineStr">
        <is>
          <t>Concept</t>
        </is>
      </c>
      <c r="C18" s="81" t="inlineStr">
        <is>
          <t>Terminals, bus, process model, message catalogue, diagram</t>
        </is>
      </c>
      <c r="D18" s="82">
        <f>COUNTIF('2 Architecture'!$G$7:$G$12,"Agreed")+COUNTIF('2 Architecture'!$G$16:$G$23,"Agreed")+COUNTIF('2 Architecture'!$G$28:$G$38,"Agreed")</f>
        <v/>
      </c>
      <c r="E18" s="82">
        <f>COUNTIF('2 Architecture'!$G$7:$G$12,"Proposed")+COUNTIF('2 Architecture'!$G$16:$G$23,"Proposed")+COUNTIF('2 Architecture'!$G$28:$G$38,"Proposed")</f>
        <v/>
      </c>
      <c r="F18" s="82">
        <f>COUNTIF('2 Architecture'!$G$7:$G$12,"Draft")+COUNTIF('2 Architecture'!$G$16:$G$23,"Draft")+COUNTIF('2 Architecture'!$G$28:$G$38,"Draft")</f>
        <v/>
      </c>
      <c r="G18" s="82">
        <f>COUNTIF('2 Architecture'!$G$7:$G$12,"Needs detail")+COUNTIF('2 Architecture'!$G$16:$G$23,"Needs detail")+COUNTIF('2 Architecture'!$G$28:$G$38,"Needs detail")</f>
        <v/>
      </c>
      <c r="H18" s="82">
        <f>COUNTIF('2 Architecture'!$G$7:$G$12,"Not started")+COUNTIF('2 Architecture'!$G$16:$G$23,"Not started")+COUNTIF('2 Architecture'!$G$28:$G$38,"Not started")</f>
        <v/>
      </c>
      <c r="I18" s="82">
        <f>SUM(D18:H18)</f>
        <v/>
      </c>
      <c r="J18" s="83">
        <f>IF(I18=0,0,D18/I18)</f>
        <v/>
      </c>
      <c r="K18" s="82">
        <f>COUNTIFS('2 Architecture'!$G$7:$G$12,"Needs detail",'2 Architecture'!$E$7:$E$12,"")+COUNTIFS('2 Architecture'!$G$7:$G$12,"Not started",'2 Architecture'!$E$7:$E$12,"")+COUNTIFS('2 Architecture'!$G$16:$G$23,"Needs detail",'2 Architecture'!$E$16:$E$23,"")+COUNTIFS('2 Architecture'!$G$16:$G$23,"Not started",'2 Architecture'!$E$16:$E$23,"")+COUNTIFS('2 Architecture'!$G$28:$G$38,"Needs detail",'2 Architecture'!$E$28:$E$38,"")+COUNTIFS('2 Architecture'!$G$28:$G$38,"Not started",'2 Architecture'!$E$28:$E$38,"")</f>
        <v/>
      </c>
    </row>
    <row r="19" ht="15" customHeight="1" s="67">
      <c r="A19" s="79">
        <f>HYPERLINK("#'3 T1 Command'!A1","3 T1 Command")</f>
        <v/>
      </c>
      <c r="B19" s="84" t="inlineStr">
        <is>
          <t>Terminals</t>
        </is>
      </c>
      <c r="C19" s="81" t="inlineStr">
        <is>
          <t>Command catalogue, prompt behaviour, order queueing</t>
        </is>
      </c>
      <c r="D19" s="82">
        <f>COUNTIF('3 T1 Command'!$I$15:$I$37,"Agreed")+COUNTIF('3 T1 Command'!$I$41:$I$50,"Agreed")</f>
        <v/>
      </c>
      <c r="E19" s="82">
        <f>COUNTIF('3 T1 Command'!$I$15:$I$37,"Proposed")+COUNTIF('3 T1 Command'!$I$41:$I$50,"Proposed")</f>
        <v/>
      </c>
      <c r="F19" s="82">
        <f>COUNTIF('3 T1 Command'!$I$15:$I$37,"Draft")+COUNTIF('3 T1 Command'!$I$41:$I$50,"Draft")</f>
        <v/>
      </c>
      <c r="G19" s="82">
        <f>COUNTIF('3 T1 Command'!$I$15:$I$37,"Needs detail")+COUNTIF('3 T1 Command'!$I$41:$I$50,"Needs detail")</f>
        <v/>
      </c>
      <c r="H19" s="82">
        <f>COUNTIF('3 T1 Command'!$I$15:$I$37,"Not started")+COUNTIF('3 T1 Command'!$I$41:$I$50,"Not started")</f>
        <v/>
      </c>
      <c r="I19" s="82">
        <f>SUM(D19:H19)</f>
        <v/>
      </c>
      <c r="J19" s="83">
        <f>IF(I19=0,0,D19/I19)</f>
        <v/>
      </c>
      <c r="K19" s="82">
        <f>COUNTIFS('3 T1 Command'!$I$15:$I$37,"Needs detail",'3 T1 Command'!$G$15:$G$37,"")+COUNTIFS('3 T1 Command'!$I$15:$I$37,"Not started",'3 T1 Command'!$G$15:$G$37,"")+COUNTIFS('3 T1 Command'!$I$41:$I$50,"Needs detail",'3 T1 Command'!$G$41:$G$50,"")+COUNTIFS('3 T1 Command'!$I$41:$I$50,"Not started",'3 T1 Command'!$G$41:$G$50,"")</f>
        <v/>
      </c>
    </row>
    <row r="20" ht="15" customHeight="1" s="67">
      <c r="A20" s="79">
        <f>HYPERLINK("#'4 T2 Grid'!A1","4 T2 Grid")</f>
        <v/>
      </c>
      <c r="B20" s="84" t="inlineStr">
        <is>
          <t>Terminals</t>
        </is>
      </c>
      <c r="C20" s="81" t="inlineStr">
        <is>
          <t>View levels, symbol legend, overlays, refresh</t>
        </is>
      </c>
      <c r="D20" s="82">
        <f>COUNTIF('4 T2 Grid'!$I$16:$I$19,"Agreed")+COUNTIF('4 T2 Grid'!$I$24:$I$39,"Agreed")+COUNTIF('4 T2 Grid'!$I$43:$I$52,"Agreed")</f>
        <v/>
      </c>
      <c r="E20" s="82">
        <f>COUNTIF('4 T2 Grid'!$I$16:$I$19,"Proposed")+COUNTIF('4 T2 Grid'!$I$24:$I$39,"Proposed")+COUNTIF('4 T2 Grid'!$I$43:$I$52,"Proposed")</f>
        <v/>
      </c>
      <c r="F20" s="82">
        <f>COUNTIF('4 T2 Grid'!$I$16:$I$19,"Draft")+COUNTIF('4 T2 Grid'!$I$24:$I$39,"Draft")+COUNTIF('4 T2 Grid'!$I$43:$I$52,"Draft")</f>
        <v/>
      </c>
      <c r="G20" s="82">
        <f>COUNTIF('4 T2 Grid'!$I$16:$I$19,"Needs detail")+COUNTIF('4 T2 Grid'!$I$24:$I$39,"Needs detail")+COUNTIF('4 T2 Grid'!$I$43:$I$52,"Needs detail")</f>
        <v/>
      </c>
      <c r="H20" s="82">
        <f>COUNTIF('4 T2 Grid'!$I$16:$I$19,"Not started")+COUNTIF('4 T2 Grid'!$I$24:$I$39,"Not started")+COUNTIF('4 T2 Grid'!$I$43:$I$52,"Not started")</f>
        <v/>
      </c>
      <c r="I20" s="82">
        <f>SUM(D20:H20)</f>
        <v/>
      </c>
      <c r="J20" s="83">
        <f>IF(I20=0,0,D20/I20)</f>
        <v/>
      </c>
      <c r="K20" s="82">
        <f>COUNTIFS('4 T2 Grid'!$I$16:$I$19,"Needs detail",'4 T2 Grid'!$G$16:$G$19,"")+COUNTIFS('4 T2 Grid'!$I$16:$I$19,"Not started",'4 T2 Grid'!$G$16:$G$19,"")+COUNTIFS('4 T2 Grid'!$I$24:$I$39,"Needs detail",'4 T2 Grid'!$G$24:$G$39,"")+COUNTIFS('4 T2 Grid'!$I$24:$I$39,"Not started",'4 T2 Grid'!$G$24:$G$39,"")+COUNTIFS('4 T2 Grid'!$I$43:$I$52,"Needs detail",'4 T2 Grid'!$G$43:$G$52,"")+COUNTIFS('4 T2 Grid'!$I$43:$I$52,"Not started",'4 T2 Grid'!$G$43:$G$52,"")</f>
        <v/>
      </c>
    </row>
    <row r="21" ht="15" customHeight="1" s="67">
      <c r="A21" s="79">
        <f>HYPERLINK("#'5 T3 Output'!A1","5 T3 Output")</f>
        <v/>
      </c>
      <c r="B21" s="84" t="inlineStr">
        <is>
          <t>Terminals</t>
        </is>
      </c>
      <c r="C21" s="81" t="inlineStr">
        <is>
          <t>Message types, log behaviour</t>
        </is>
      </c>
      <c r="D21" s="82">
        <f>COUNTIF('5 T3 Output'!$I$15:$I$34,"Agreed")+COUNTIF('5 T3 Output'!$I$38:$I$43,"Agreed")</f>
        <v/>
      </c>
      <c r="E21" s="82">
        <f>COUNTIF('5 T3 Output'!$I$15:$I$34,"Proposed")+COUNTIF('5 T3 Output'!$I$38:$I$43,"Proposed")</f>
        <v/>
      </c>
      <c r="F21" s="82">
        <f>COUNTIF('5 T3 Output'!$I$15:$I$34,"Draft")+COUNTIF('5 T3 Output'!$I$38:$I$43,"Draft")</f>
        <v/>
      </c>
      <c r="G21" s="82">
        <f>COUNTIF('5 T3 Output'!$I$15:$I$34,"Needs detail")+COUNTIF('5 T3 Output'!$I$38:$I$43,"Needs detail")</f>
        <v/>
      </c>
      <c r="H21" s="82">
        <f>COUNTIF('5 T3 Output'!$I$15:$I$34,"Not started")+COUNTIF('5 T3 Output'!$I$38:$I$43,"Not started")</f>
        <v/>
      </c>
      <c r="I21" s="82">
        <f>SUM(D21:H21)</f>
        <v/>
      </c>
      <c r="J21" s="83">
        <f>IF(I21=0,0,D21/I21)</f>
        <v/>
      </c>
      <c r="K21" s="82">
        <f>COUNTIFS('5 T3 Output'!$I$15:$I$34,"Needs detail",'5 T3 Output'!$G$15:$G$34,"")+COUNTIFS('5 T3 Output'!$I$15:$I$34,"Not started",'5 T3 Output'!$G$15:$G$34,"")+COUNTIFS('5 T3 Output'!$I$38:$I$43,"Needs detail",'5 T3 Output'!$G$38:$G$43,"")+COUNTIFS('5 T3 Output'!$I$38:$I$43,"Not started",'5 T3 Output'!$G$38:$G$43,"")</f>
        <v/>
      </c>
    </row>
    <row r="22" ht="15" customHeight="1" s="67">
      <c r="A22" s="79">
        <f>HYPERLINK("#'5b T4 Status'!A1","5b T4 Status")</f>
        <v/>
      </c>
      <c r="B22" s="84" t="inlineStr">
        <is>
          <t>Terminals</t>
        </is>
      </c>
      <c r="C22" s="81" t="inlineStr">
        <is>
          <t>Permanent status panels</t>
        </is>
      </c>
      <c r="D22" s="82">
        <f>COUNTIF('5b T4 Status'!$I$13:$I$20,"Agreed")</f>
        <v/>
      </c>
      <c r="E22" s="82">
        <f>COUNTIF('5b T4 Status'!$I$13:$I$20,"Proposed")</f>
        <v/>
      </c>
      <c r="F22" s="82">
        <f>COUNTIF('5b T4 Status'!$I$13:$I$20,"Draft")</f>
        <v/>
      </c>
      <c r="G22" s="82">
        <f>COUNTIF('5b T4 Status'!$I$13:$I$20,"Needs detail")</f>
        <v/>
      </c>
      <c r="H22" s="82">
        <f>COUNTIF('5b T4 Status'!$I$13:$I$20,"Not started")</f>
        <v/>
      </c>
      <c r="I22" s="82">
        <f>SUM(D22:H22)</f>
        <v/>
      </c>
      <c r="J22" s="83">
        <f>IF(I22=0,0,D22/I22)</f>
        <v/>
      </c>
      <c r="K22" s="82">
        <f>COUNTIFS('5b T4 Status'!$I$13:$I$20,"Needs detail",'5b T4 Status'!$G$13:$G$20,"")+COUNTIFS('5b T4 Status'!$I$13:$I$20,"Not started",'5b T4 Status'!$G$13:$G$20,"")</f>
        <v/>
      </c>
    </row>
    <row r="23" ht="15" customHeight="1" s="67">
      <c r="A23" s="79">
        <f>HYPERLINK("#'6 World Grids'!A1","6 World Grids")</f>
        <v/>
      </c>
      <c r="B23" s="85" t="inlineStr">
        <is>
          <t>World</t>
        </is>
      </c>
      <c r="C23" s="81" t="inlineStr">
        <is>
          <t>Grid hierarchy, cell contents, generation rules</t>
        </is>
      </c>
      <c r="D23" s="82">
        <f>COUNTIF('6 World Grids'!$H$7:$H$10,"Agreed")+COUNTIF('6 World Grids'!$H$14:$H$22,"Agreed")</f>
        <v/>
      </c>
      <c r="E23" s="82">
        <f>COUNTIF('6 World Grids'!$H$7:$H$10,"Proposed")+COUNTIF('6 World Grids'!$H$14:$H$22,"Proposed")</f>
        <v/>
      </c>
      <c r="F23" s="82">
        <f>COUNTIF('6 World Grids'!$H$7:$H$10,"Draft")+COUNTIF('6 World Grids'!$H$14:$H$22,"Draft")</f>
        <v/>
      </c>
      <c r="G23" s="82">
        <f>COUNTIF('6 World Grids'!$H$7:$H$10,"Needs detail")+COUNTIF('6 World Grids'!$H$14:$H$22,"Needs detail")</f>
        <v/>
      </c>
      <c r="H23" s="82">
        <f>COUNTIF('6 World Grids'!$H$7:$H$10,"Not started")+COUNTIF('6 World Grids'!$H$14:$H$22,"Not started")</f>
        <v/>
      </c>
      <c r="I23" s="82">
        <f>SUM(D23:H23)</f>
        <v/>
      </c>
      <c r="J23" s="83">
        <f>IF(I23=0,0,D23/I23)</f>
        <v/>
      </c>
      <c r="K23" s="82">
        <f>COUNTIFS('6 World Grids'!$H$7:$H$10,"Needs detail",'6 World Grids'!$F$7:$F$10,"")+COUNTIFS('6 World Grids'!$H$7:$H$10,"Not started",'6 World Grids'!$F$7:$F$10,"")+COUNTIFS('6 World Grids'!$H$14:$H$22,"Needs detail",'6 World Grids'!$F$14:$F$22,"")+COUNTIFS('6 World Grids'!$H$14:$H$22,"Not started",'6 World Grids'!$F$14:$F$22,"")</f>
        <v/>
      </c>
    </row>
    <row r="24" ht="15" customHeight="1" s="67">
      <c r="A24" s="79">
        <f>HYPERLINK("#'7 Stellar'!A1","7 Stellar")</f>
        <v/>
      </c>
      <c r="B24" s="85" t="inlineStr">
        <is>
          <t>World</t>
        </is>
      </c>
      <c r="C24" s="81" t="inlineStr">
        <is>
          <t>Stellar types, derived quantities, buckets, calculator</t>
        </is>
      </c>
      <c r="D24" s="82">
        <f>COUNTIF('7 Stellar'!$H$7:$H$10,"Agreed")+COUNTIF('7 Stellar'!$H$14:$H$19,"Agreed")+COUNTIF('7 Stellar'!$H$23:$H$26,"Agreed")</f>
        <v/>
      </c>
      <c r="E24" s="82">
        <f>COUNTIF('7 Stellar'!$H$7:$H$10,"Proposed")+COUNTIF('7 Stellar'!$H$14:$H$19,"Proposed")+COUNTIF('7 Stellar'!$H$23:$H$26,"Proposed")</f>
        <v/>
      </c>
      <c r="F24" s="82">
        <f>COUNTIF('7 Stellar'!$H$7:$H$10,"Draft")+COUNTIF('7 Stellar'!$H$14:$H$19,"Draft")+COUNTIF('7 Stellar'!$H$23:$H$26,"Draft")</f>
        <v/>
      </c>
      <c r="G24" s="82">
        <f>COUNTIF('7 Stellar'!$H$7:$H$10,"Needs detail")+COUNTIF('7 Stellar'!$H$14:$H$19,"Needs detail")+COUNTIF('7 Stellar'!$H$23:$H$26,"Needs detail")</f>
        <v/>
      </c>
      <c r="H24" s="82">
        <f>COUNTIF('7 Stellar'!$H$7:$H$10,"Not started")+COUNTIF('7 Stellar'!$H$14:$H$19,"Not started")+COUNTIF('7 Stellar'!$H$23:$H$26,"Not started")</f>
        <v/>
      </c>
      <c r="I24" s="82">
        <f>SUM(D24:H24)</f>
        <v/>
      </c>
      <c r="J24" s="83">
        <f>IF(I24=0,0,D24/I24)</f>
        <v/>
      </c>
      <c r="K24" s="82">
        <f>COUNTIFS('7 Stellar'!$H$7:$H$10,"Needs detail",'7 Stellar'!$F$7:$F$10,"")+COUNTIFS('7 Stellar'!$H$7:$H$10,"Not started",'7 Stellar'!$F$7:$F$10,"")+COUNTIFS('7 Stellar'!$H$14:$H$19,"Needs detail",'7 Stellar'!$F$14:$F$19,"")+COUNTIFS('7 Stellar'!$H$14:$H$19,"Not started",'7 Stellar'!$F$14:$F$19,"")+COUNTIFS('7 Stellar'!$H$23:$H$26,"Needs detail",'7 Stellar'!$F$23:$F$26,"")+COUNTIFS('7 Stellar'!$H$23:$H$26,"Not started",'7 Stellar'!$F$23:$F$26,"")</f>
        <v/>
      </c>
    </row>
    <row r="25" ht="15" customHeight="1" s="67">
      <c r="A25" s="79">
        <f>HYPERLINK("#'8 Hazards'!A1","8 Hazards")</f>
        <v/>
      </c>
      <c r="B25" s="85" t="inlineStr">
        <is>
          <t>World</t>
        </is>
      </c>
      <c r="C25" s="81" t="inlineStr">
        <is>
          <t>Gravity pull, shield drain, black holes, wormholes, calculator</t>
        </is>
      </c>
      <c r="D25" s="82">
        <f>COUNTIF('8 Hazards'!$I$7:$I$17,"Agreed")</f>
        <v/>
      </c>
      <c r="E25" s="82">
        <f>COUNTIF('8 Hazards'!$I$7:$I$17,"Proposed")</f>
        <v/>
      </c>
      <c r="F25" s="82">
        <f>COUNTIF('8 Hazards'!$I$7:$I$17,"Draft")</f>
        <v/>
      </c>
      <c r="G25" s="82">
        <f>COUNTIF('8 Hazards'!$I$7:$I$17,"Needs detail")</f>
        <v/>
      </c>
      <c r="H25" s="82">
        <f>COUNTIF('8 Hazards'!$I$7:$I$17,"Not started")</f>
        <v/>
      </c>
      <c r="I25" s="82">
        <f>SUM(D25:H25)</f>
        <v/>
      </c>
      <c r="J25" s="83">
        <f>IF(I25=0,0,D25/I25)</f>
        <v/>
      </c>
      <c r="K25" s="82">
        <f>COUNTIFS('8 Hazards'!$I$7:$I$17,"Needs detail",'8 Hazards'!$G$7:$G$17,"")+COUNTIFS('8 Hazards'!$I$7:$I$17,"Not started",'8 Hazards'!$G$7:$G$17,"")</f>
        <v/>
      </c>
    </row>
    <row r="26" ht="15" customHeight="1" s="67">
      <c r="A26" s="79">
        <f>HYPERLINK("#'9 Ships'!A1","9 Ships")</f>
        <v/>
      </c>
      <c r="B26" s="86" t="inlineStr">
        <is>
          <t>Entities</t>
        </is>
      </c>
      <c r="C26" s="81" t="inlineStr">
        <is>
          <t>Ship attributes, movement, warp curve, classes</t>
        </is>
      </c>
      <c r="D26" s="82">
        <f>COUNTIF('9 Ships'!$H$7:$H$17,"Agreed")+COUNTIF('9 Ships'!$H$21:$H$27,"Agreed")+COUNTIF('9 Ships'!$H$52:$H$57,"Agreed")</f>
        <v/>
      </c>
      <c r="E26" s="82">
        <f>COUNTIF('9 Ships'!$H$7:$H$17,"Proposed")+COUNTIF('9 Ships'!$H$21:$H$27,"Proposed")+COUNTIF('9 Ships'!$H$52:$H$57,"Proposed")</f>
        <v/>
      </c>
      <c r="F26" s="82">
        <f>COUNTIF('9 Ships'!$H$7:$H$17,"Draft")+COUNTIF('9 Ships'!$H$21:$H$27,"Draft")+COUNTIF('9 Ships'!$H$52:$H$57,"Draft")</f>
        <v/>
      </c>
      <c r="G26" s="82">
        <f>COUNTIF('9 Ships'!$H$7:$H$17,"Needs detail")+COUNTIF('9 Ships'!$H$21:$H$27,"Needs detail")+COUNTIF('9 Ships'!$H$52:$H$57,"Needs detail")</f>
        <v/>
      </c>
      <c r="H26" s="82">
        <f>COUNTIF('9 Ships'!$H$7:$H$17,"Not started")+COUNTIF('9 Ships'!$H$21:$H$27,"Not started")+COUNTIF('9 Ships'!$H$52:$H$57,"Not started")</f>
        <v/>
      </c>
      <c r="I26" s="82">
        <f>SUM(D26:H26)</f>
        <v/>
      </c>
      <c r="J26" s="83">
        <f>IF(I26=0,0,D26/I26)</f>
        <v/>
      </c>
      <c r="K26" s="82">
        <f>COUNTIFS('9 Ships'!$H$7:$H$17,"Needs detail",'9 Ships'!$F$7:$F$17,"")+COUNTIFS('9 Ships'!$H$7:$H$17,"Not started",'9 Ships'!$F$7:$F$17,"")+COUNTIFS('9 Ships'!$H$21:$H$27,"Needs detail",'9 Ships'!$F$21:$F$27,"")+COUNTIFS('9 Ships'!$H$21:$H$27,"Not started",'9 Ships'!$F$21:$F$27,"")+COUNTIFS('9 Ships'!$H$52:$H$57,"Needs detail",'9 Ships'!$F$52:$F$57,"")+COUNTIFS('9 Ships'!$H$52:$H$57,"Not started",'9 Ships'!$F$52:$F$57,"")</f>
        <v/>
      </c>
    </row>
    <row r="27" ht="15" customHeight="1" s="67">
      <c r="A27" s="79">
        <f>HYPERLINK("#'10 Captain'!A1","10 Captain")</f>
        <v/>
      </c>
      <c r="B27" s="86" t="inlineStr">
        <is>
          <t>Entities</t>
        </is>
      </c>
      <c r="C27" s="81" t="inlineStr">
        <is>
          <t>Captain attributes, fleet rules, endgame eligibility</t>
        </is>
      </c>
      <c r="D27" s="82">
        <f>COUNTIF('10 Captain'!$H$7:$H$17,"Agreed")+COUNTIF('10 Captain'!$H$21:$H$26,"Agreed")+COUNTIF('10 Captain'!$H$30:$H$38,"Agreed")</f>
        <v/>
      </c>
      <c r="E27" s="82">
        <f>COUNTIF('10 Captain'!$H$7:$H$17,"Proposed")+COUNTIF('10 Captain'!$H$21:$H$26,"Proposed")+COUNTIF('10 Captain'!$H$30:$H$38,"Proposed")</f>
        <v/>
      </c>
      <c r="F27" s="82">
        <f>COUNTIF('10 Captain'!$H$7:$H$17,"Draft")+COUNTIF('10 Captain'!$H$21:$H$26,"Draft")+COUNTIF('10 Captain'!$H$30:$H$38,"Draft")</f>
        <v/>
      </c>
      <c r="G27" s="82">
        <f>COUNTIF('10 Captain'!$H$7:$H$17,"Needs detail")+COUNTIF('10 Captain'!$H$21:$H$26,"Needs detail")+COUNTIF('10 Captain'!$H$30:$H$38,"Needs detail")</f>
        <v/>
      </c>
      <c r="H27" s="82">
        <f>COUNTIF('10 Captain'!$H$7:$H$17,"Not started")+COUNTIF('10 Captain'!$H$21:$H$26,"Not started")+COUNTIF('10 Captain'!$H$30:$H$38,"Not started")</f>
        <v/>
      </c>
      <c r="I27" s="82">
        <f>SUM(D27:H27)</f>
        <v/>
      </c>
      <c r="J27" s="83">
        <f>IF(I27=0,0,D27/I27)</f>
        <v/>
      </c>
      <c r="K27" s="82">
        <f>COUNTIFS('10 Captain'!$H$7:$H$17,"Needs detail",'10 Captain'!$F$7:$F$17,"")+COUNTIFS('10 Captain'!$H$7:$H$17,"Not started",'10 Captain'!$F$7:$F$17,"")+COUNTIFS('10 Captain'!$H$21:$H$26,"Needs detail",'10 Captain'!$F$21:$F$26,"")+COUNTIFS('10 Captain'!$H$21:$H$26,"Not started",'10 Captain'!$F$21:$F$26,"")+COUNTIFS('10 Captain'!$H$30:$H$38,"Needs detail",'10 Captain'!$F$30:$F$38,"")+COUNTIFS('10 Captain'!$H$30:$H$38,"Not started",'10 Captain'!$F$30:$F$38,"")</f>
        <v/>
      </c>
    </row>
    <row r="28" ht="15" customHeight="1" s="67">
      <c r="A28" s="79">
        <f>HYPERLINK("#'11 Items &amp; Planets'!A1","11 Items &amp; Planets")</f>
        <v/>
      </c>
      <c r="B28" s="86" t="inlineStr">
        <is>
          <t>Entities</t>
        </is>
      </c>
      <c r="C28" s="81" t="inlineStr">
        <is>
          <t>Items, element catalogue, planets</t>
        </is>
      </c>
      <c r="D28" s="82">
        <f>COUNTIF('11 Items &amp; Planets'!$H$7:$H$12,"Agreed")+COUNTIF('11 Items &amp; Planets'!$H$17:$H$24,"Agreed")+COUNTIF('11 Items &amp; Planets'!$H$29:$H$43,"Agreed")+COUNTIF('11 Items &amp; Planets'!$H$47:$H$53,"Agreed")+COUNTIF('11 Items &amp; Planets'!$H$57:$H$62,"Agreed")</f>
        <v/>
      </c>
      <c r="E28" s="82">
        <f>COUNTIF('11 Items &amp; Planets'!$H$7:$H$12,"Proposed")+COUNTIF('11 Items &amp; Planets'!$H$17:$H$24,"Proposed")+COUNTIF('11 Items &amp; Planets'!$H$29:$H$43,"Proposed")+COUNTIF('11 Items &amp; Planets'!$H$47:$H$53,"Proposed")+COUNTIF('11 Items &amp; Planets'!$H$57:$H$62,"Proposed")</f>
        <v/>
      </c>
      <c r="F28" s="82">
        <f>COUNTIF('11 Items &amp; Planets'!$H$7:$H$12,"Draft")+COUNTIF('11 Items &amp; Planets'!$H$17:$H$24,"Draft")+COUNTIF('11 Items &amp; Planets'!$H$29:$H$43,"Draft")+COUNTIF('11 Items &amp; Planets'!$H$47:$H$53,"Draft")+COUNTIF('11 Items &amp; Planets'!$H$57:$H$62,"Draft")</f>
        <v/>
      </c>
      <c r="G28" s="82">
        <f>COUNTIF('11 Items &amp; Planets'!$H$7:$H$12,"Needs detail")+COUNTIF('11 Items &amp; Planets'!$H$17:$H$24,"Needs detail")+COUNTIF('11 Items &amp; Planets'!$H$29:$H$43,"Needs detail")+COUNTIF('11 Items &amp; Planets'!$H$47:$H$53,"Needs detail")+COUNTIF('11 Items &amp; Planets'!$H$57:$H$62,"Needs detail")</f>
        <v/>
      </c>
      <c r="H28" s="82">
        <f>COUNTIF('11 Items &amp; Planets'!$H$7:$H$12,"Not started")+COUNTIF('11 Items &amp; Planets'!$H$17:$H$24,"Not started")+COUNTIF('11 Items &amp; Planets'!$H$29:$H$43,"Not started")+COUNTIF('11 Items &amp; Planets'!$H$47:$H$53,"Not started")+COUNTIF('11 Items &amp; Planets'!$H$57:$H$62,"Not started")</f>
        <v/>
      </c>
      <c r="I28" s="82">
        <f>SUM(D28:H28)</f>
        <v/>
      </c>
      <c r="J28" s="83">
        <f>IF(I28=0,0,D28/I28)</f>
        <v/>
      </c>
      <c r="K28" s="82">
        <f>COUNTIFS('11 Items &amp; Planets'!$H$7:$H$12,"Needs detail",'11 Items &amp; Planets'!$F$7:$F$12,"")+COUNTIFS('11 Items &amp; Planets'!$H$7:$H$12,"Not started",'11 Items &amp; Planets'!$F$7:$F$12,"")+COUNTIFS('11 Items &amp; Planets'!$H$17:$H$24,"Needs detail",'11 Items &amp; Planets'!$F$17:$F$24,"")+COUNTIFS('11 Items &amp; Planets'!$H$17:$H$24,"Not started",'11 Items &amp; Planets'!$F$17:$F$24,"")+COUNTIFS('11 Items &amp; Planets'!$H$29:$H$43,"Needs detail",'11 Items &amp; Planets'!$F$29:$F$43,"")+COUNTIFS('11 Items &amp; Planets'!$H$29:$H$43,"Not started",'11 Items &amp; Planets'!$F$29:$F$43,"")+COUNTIFS('11 Items &amp; Planets'!$H$47:$H$53,"Needs detail",'11 Items &amp; Planets'!$F$47:$F$53,"")+COUNTIFS('11 Items &amp; Planets'!$H$47:$H$53,"Not started",'11 Items &amp; Planets'!$F$47:$F$53,"")+COUNTIFS('11 Items &amp; Planets'!$H$57:$H$62,"Needs detail",'11 Items &amp; Planets'!$F$57:$F$62,"")+COUNTIFS('11 Items &amp; Planets'!$H$57:$H$62,"Not started",'11 Items &amp; Planets'!$F$57:$F$62,"")</f>
        <v/>
      </c>
    </row>
    <row r="29" ht="15" customHeight="1" s="67">
      <c r="A29" s="79">
        <f>HYPERLINK("#'12 Trade &amp; Economy'!A1","12 Trade &amp; Economy")</f>
        <v/>
      </c>
      <c r="B29" s="87" t="inlineStr">
        <is>
          <t>Rules</t>
        </is>
      </c>
      <c r="C29" s="81" t="inlineStr">
        <is>
          <t>Currencies, trade rules, upgrade map, sources and sinks</t>
        </is>
      </c>
      <c r="D29" s="82">
        <f>COUNTIF('12 Trade &amp; Economy'!$H$7:$H$17,"Agreed")+COUNTIF('12 Trade &amp; Economy'!$H$22:$H$27,"Agreed")+COUNTIF('12 Trade &amp; Economy'!$H$32:$H$37,"Agreed")</f>
        <v/>
      </c>
      <c r="E29" s="82">
        <f>COUNTIF('12 Trade &amp; Economy'!$H$7:$H$17,"Proposed")+COUNTIF('12 Trade &amp; Economy'!$H$22:$H$27,"Proposed")+COUNTIF('12 Trade &amp; Economy'!$H$32:$H$37,"Proposed")</f>
        <v/>
      </c>
      <c r="F29" s="82">
        <f>COUNTIF('12 Trade &amp; Economy'!$H$7:$H$17,"Draft")+COUNTIF('12 Trade &amp; Economy'!$H$22:$H$27,"Draft")+COUNTIF('12 Trade &amp; Economy'!$H$32:$H$37,"Draft")</f>
        <v/>
      </c>
      <c r="G29" s="82">
        <f>COUNTIF('12 Trade &amp; Economy'!$H$7:$H$17,"Needs detail")+COUNTIF('12 Trade &amp; Economy'!$H$22:$H$27,"Needs detail")+COUNTIF('12 Trade &amp; Economy'!$H$32:$H$37,"Needs detail")</f>
        <v/>
      </c>
      <c r="H29" s="82">
        <f>COUNTIF('12 Trade &amp; Economy'!$H$7:$H$17,"Not started")+COUNTIF('12 Trade &amp; Economy'!$H$22:$H$27,"Not started")+COUNTIF('12 Trade &amp; Economy'!$H$32:$H$37,"Not started")</f>
        <v/>
      </c>
      <c r="I29" s="82">
        <f>SUM(D29:H29)</f>
        <v/>
      </c>
      <c r="J29" s="83">
        <f>IF(I29=0,0,D29/I29)</f>
        <v/>
      </c>
      <c r="K29" s="82">
        <f>COUNTIFS('12 Trade &amp; Economy'!$H$7:$H$17,"Needs detail",'12 Trade &amp; Economy'!$F$7:$F$17,"")+COUNTIFS('12 Trade &amp; Economy'!$H$7:$H$17,"Not started",'12 Trade &amp; Economy'!$F$7:$F$17,"")+COUNTIFS('12 Trade &amp; Economy'!$H$22:$H$27,"Needs detail",'12 Trade &amp; Economy'!$F$22:$F$27,"")+COUNTIFS('12 Trade &amp; Economy'!$H$22:$H$27,"Not started",'12 Trade &amp; Economy'!$F$22:$F$27,"")+COUNTIFS('12 Trade &amp; Economy'!$H$32:$H$37,"Needs detail",'12 Trade &amp; Economy'!$F$32:$F$37,"")+COUNTIFS('12 Trade &amp; Economy'!$H$32:$H$37,"Not started",'12 Trade &amp; Economy'!$F$32:$F$37,"")</f>
        <v/>
      </c>
    </row>
    <row r="30" ht="15" customHeight="1" s="67">
      <c r="A30" s="79">
        <f>HYPERLINK("#'13 Combat'!A1","13 Combat")</f>
        <v/>
      </c>
      <c r="B30" s="87" t="inlineStr">
        <is>
          <t>Rules</t>
        </is>
      </c>
      <c r="C30" s="81" t="inlineStr">
        <is>
          <t>Combat model recommendation, outcomes, loot</t>
        </is>
      </c>
      <c r="D30" s="82">
        <f>COUNTIF('13 Combat'!$I$7:$I$11,"Agreed")+COUNTIF('13 Combat'!$I$16:$I$30,"Agreed")</f>
        <v/>
      </c>
      <c r="E30" s="82">
        <f>COUNTIF('13 Combat'!$I$7:$I$11,"Proposed")+COUNTIF('13 Combat'!$I$16:$I$30,"Proposed")</f>
        <v/>
      </c>
      <c r="F30" s="82">
        <f>COUNTIF('13 Combat'!$I$7:$I$11,"Draft")+COUNTIF('13 Combat'!$I$16:$I$30,"Draft")</f>
        <v/>
      </c>
      <c r="G30" s="82">
        <f>COUNTIF('13 Combat'!$I$7:$I$11,"Needs detail")+COUNTIF('13 Combat'!$I$16:$I$30,"Needs detail")</f>
        <v/>
      </c>
      <c r="H30" s="82">
        <f>COUNTIF('13 Combat'!$I$7:$I$11,"Not started")+COUNTIF('13 Combat'!$I$16:$I$30,"Not started")</f>
        <v/>
      </c>
      <c r="I30" s="82">
        <f>SUM(D30:H30)</f>
        <v/>
      </c>
      <c r="J30" s="83">
        <f>IF(I30=0,0,D30/I30)</f>
        <v/>
      </c>
      <c r="K30" s="82">
        <f>COUNTIFS('13 Combat'!$I$7:$I$11,"Needs detail",'13 Combat'!$G$7:$G$11,"")+COUNTIFS('13 Combat'!$I$7:$I$11,"Not started",'13 Combat'!$G$7:$G$11,"")+COUNTIFS('13 Combat'!$I$16:$I$30,"Needs detail",'13 Combat'!$G$16:$G$30,"")+COUNTIFS('13 Combat'!$I$16:$I$30,"Not started",'13 Combat'!$G$16:$G$30,"")</f>
        <v/>
      </c>
    </row>
    <row r="31" ht="15" customHeight="1" s="67">
      <c r="A31" s="79">
        <f>HYPERLINK("#'14 Fear &amp; Respect'!A1","14 Fear &amp; Respect")</f>
        <v/>
      </c>
      <c r="B31" s="87" t="inlineStr">
        <is>
          <t>Rules</t>
        </is>
      </c>
      <c r="C31" s="81" t="inlineStr">
        <is>
          <t>Fear / respect events, level mechanics, effects</t>
        </is>
      </c>
      <c r="D31" s="82">
        <f>COUNTIF('14 Fear &amp; Respect'!$I$8:$I$19,"Agreed")+COUNTIF('14 Fear &amp; Respect'!$I$23:$I$28,"Agreed")+COUNTIF('14 Fear &amp; Respect'!$I$33:$I$40,"Agreed")</f>
        <v/>
      </c>
      <c r="E31" s="82">
        <f>COUNTIF('14 Fear &amp; Respect'!$I$8:$I$19,"Proposed")+COUNTIF('14 Fear &amp; Respect'!$I$23:$I$28,"Proposed")+COUNTIF('14 Fear &amp; Respect'!$I$33:$I$40,"Proposed")</f>
        <v/>
      </c>
      <c r="F31" s="82">
        <f>COUNTIF('14 Fear &amp; Respect'!$I$8:$I$19,"Draft")+COUNTIF('14 Fear &amp; Respect'!$I$23:$I$28,"Draft")+COUNTIF('14 Fear &amp; Respect'!$I$33:$I$40,"Draft")</f>
        <v/>
      </c>
      <c r="G31" s="82">
        <f>COUNTIF('14 Fear &amp; Respect'!$I$8:$I$19,"Needs detail")+COUNTIF('14 Fear &amp; Respect'!$I$23:$I$28,"Needs detail")+COUNTIF('14 Fear &amp; Respect'!$I$33:$I$40,"Needs detail")</f>
        <v/>
      </c>
      <c r="H31" s="82">
        <f>COUNTIF('14 Fear &amp; Respect'!$I$8:$I$19,"Not started")+COUNTIF('14 Fear &amp; Respect'!$I$23:$I$28,"Not started")+COUNTIF('14 Fear &amp; Respect'!$I$33:$I$40,"Not started")</f>
        <v/>
      </c>
      <c r="I31" s="82">
        <f>SUM(D31:H31)</f>
        <v/>
      </c>
      <c r="J31" s="83">
        <f>IF(I31=0,0,D31/I31)</f>
        <v/>
      </c>
      <c r="K31" s="82">
        <f>COUNTIFS('14 Fear &amp; Respect'!$I$8:$I$19,"Needs detail",'14 Fear &amp; Respect'!$G$8:$G$19,"")+COUNTIFS('14 Fear &amp; Respect'!$I$8:$I$19,"Not started",'14 Fear &amp; Respect'!$G$8:$G$19,"")+COUNTIFS('14 Fear &amp; Respect'!$I$23:$I$28,"Needs detail",'14 Fear &amp; Respect'!$G$23:$G$28,"")+COUNTIFS('14 Fear &amp; Respect'!$I$23:$I$28,"Not started",'14 Fear &amp; Respect'!$G$23:$G$28,"")+COUNTIFS('14 Fear &amp; Respect'!$I$33:$I$40,"Needs detail",'14 Fear &amp; Respect'!$G$33:$G$40,"")+COUNTIFS('14 Fear &amp; Respect'!$I$33:$I$40,"Not started",'14 Fear &amp; Respect'!$G$33:$G$40,"")</f>
        <v/>
      </c>
    </row>
    <row r="32" ht="15" customHeight="1" s="67">
      <c r="A32" s="79">
        <f>HYPERLINK("#'15 Config Keys'!A1","15 Config Keys")</f>
        <v/>
      </c>
      <c r="B32" s="88" t="inlineStr">
        <is>
          <t>Config</t>
        </is>
      </c>
      <c r="C32" s="81" t="inlineStr">
        <is>
          <t>Config keys for controls_config.ini</t>
        </is>
      </c>
      <c r="D32" s="82">
        <f>COUNTIF('15 Config Keys'!$K$8:$K$71,"Agreed")</f>
        <v/>
      </c>
      <c r="E32" s="82">
        <f>COUNTIF('15 Config Keys'!$K$8:$K$71,"Proposed")</f>
        <v/>
      </c>
      <c r="F32" s="82">
        <f>COUNTIF('15 Config Keys'!$K$8:$K$71,"Draft")</f>
        <v/>
      </c>
      <c r="G32" s="82">
        <f>COUNTIF('15 Config Keys'!$K$8:$K$71,"Needs detail")</f>
        <v/>
      </c>
      <c r="H32" s="82">
        <f>COUNTIF('15 Config Keys'!$K$8:$K$71,"Not started")</f>
        <v/>
      </c>
      <c r="I32" s="82">
        <f>SUM(D32:H32)</f>
        <v/>
      </c>
      <c r="J32" s="83">
        <f>IF(I32=0,0,D32/I32)</f>
        <v/>
      </c>
      <c r="K32" s="82">
        <f>COUNTIFS('15 Config Keys'!$K$8:$K$71,"Needs detail",'15 Config Keys'!$I$8:$I$71,"")+COUNTIFS('15 Config Keys'!$K$8:$K$71,"Not started",'15 Config Keys'!$I$8:$I$71,"")</f>
        <v/>
      </c>
    </row>
    <row r="33" ht="15" customHeight="1" s="67">
      <c r="A33" s="79">
        <f>HYPERLINK("#'16 Open Questions'!A1","16 Open Questions")</f>
        <v/>
      </c>
      <c r="B33" s="89" t="inlineStr">
        <is>
          <t>Questions</t>
        </is>
      </c>
      <c r="C33" s="81" t="inlineStr">
        <is>
          <t>Open design questions, answers, resolution</t>
        </is>
      </c>
      <c r="D33" s="82">
        <f>COUNTIF('16 Open Questions'!$G$6:$G$45,"Agreed")</f>
        <v/>
      </c>
      <c r="E33" s="82">
        <f>COUNTIF('16 Open Questions'!$G$6:$G$45,"Proposed")</f>
        <v/>
      </c>
      <c r="F33" s="82">
        <f>COUNTIF('16 Open Questions'!$G$6:$G$45,"Draft")</f>
        <v/>
      </c>
      <c r="G33" s="82">
        <f>COUNTIF('16 Open Questions'!$G$6:$G$45,"Needs detail")</f>
        <v/>
      </c>
      <c r="H33" s="82">
        <f>COUNTIF('16 Open Questions'!$G$6:$G$45,"Not started")</f>
        <v/>
      </c>
      <c r="I33" s="82">
        <f>SUM(D33:H33)</f>
        <v/>
      </c>
      <c r="J33" s="83">
        <f>IF(I33=0,0,D33/I33)</f>
        <v/>
      </c>
      <c r="K33" s="82" t="inlineStr">
        <is>
          <t>—</t>
        </is>
      </c>
    </row>
    <row r="34" ht="15" customHeight="1" s="67">
      <c r="A34" s="79">
        <f>HYPERLINK("#'17 Decisions'!A1","17 Decisions")</f>
        <v/>
      </c>
      <c r="B34" s="90" t="inlineStr">
        <is>
          <t>Decisions</t>
        </is>
      </c>
      <c r="C34" s="81" t="inlineStr">
        <is>
          <t>Decision log</t>
        </is>
      </c>
      <c r="D34" s="82">
        <f>COUNTIF('17 Decisions'!$F$6:$F$64,"Agreed")</f>
        <v/>
      </c>
      <c r="E34" s="82">
        <f>COUNTIF('17 Decisions'!$F$6:$F$64,"Proposed")</f>
        <v/>
      </c>
      <c r="F34" s="82">
        <f>COUNTIF('17 Decisions'!$F$6:$F$64,"Draft")</f>
        <v/>
      </c>
      <c r="G34" s="82">
        <f>COUNTIF('17 Decisions'!$F$6:$F$64,"Needs detail")</f>
        <v/>
      </c>
      <c r="H34" s="82">
        <f>COUNTIF('17 Decisions'!$F$6:$F$64,"Not started")</f>
        <v/>
      </c>
      <c r="I34" s="82">
        <f>SUM(D34:H34)</f>
        <v/>
      </c>
      <c r="J34" s="83">
        <f>IF(I34=0,0,D34/I34)</f>
        <v/>
      </c>
      <c r="K34" s="82" t="inlineStr">
        <is>
          <t>—</t>
        </is>
      </c>
    </row>
    <row r="35" ht="15" customHeight="1" s="67">
      <c r="A35" s="79">
        <f>HYPERLINK("#'18 Build &amp; Release'!A1","18 Build &amp; Release")</f>
        <v/>
      </c>
      <c r="B35" s="91" t="inlineStr">
        <is>
          <t>Delivery</t>
        </is>
      </c>
      <c r="C35" s="81" t="inlineStr">
        <is>
          <t>Repo, environment, packaging, distribution, build-kit files</t>
        </is>
      </c>
      <c r="D35" s="82">
        <f>COUNTIF('18 Build &amp; Release'!$G$7:$G$13,"Agreed")+COUNTIF('18 Build &amp; Release'!$G$17:$G$24,"Agreed")+COUNTIF('18 Build &amp; Release'!$G$28:$G$39,"Agreed")+COUNTIF('18 Build &amp; Release'!$G$44:$G$55,"Agreed")</f>
        <v/>
      </c>
      <c r="E35" s="82">
        <f>COUNTIF('18 Build &amp; Release'!$G$7:$G$13,"Proposed")+COUNTIF('18 Build &amp; Release'!$G$17:$G$24,"Proposed")+COUNTIF('18 Build &amp; Release'!$G$28:$G$39,"Proposed")+COUNTIF('18 Build &amp; Release'!$G$44:$G$55,"Proposed")</f>
        <v/>
      </c>
      <c r="F35" s="82">
        <f>COUNTIF('18 Build &amp; Release'!$G$7:$G$13,"Draft")+COUNTIF('18 Build &amp; Release'!$G$17:$G$24,"Draft")+COUNTIF('18 Build &amp; Release'!$G$28:$G$39,"Draft")+COUNTIF('18 Build &amp; Release'!$G$44:$G$55,"Draft")</f>
        <v/>
      </c>
      <c r="G35" s="82">
        <f>COUNTIF('18 Build &amp; Release'!$G$7:$G$13,"Needs detail")+COUNTIF('18 Build &amp; Release'!$G$17:$G$24,"Needs detail")+COUNTIF('18 Build &amp; Release'!$G$28:$G$39,"Needs detail")+COUNTIF('18 Build &amp; Release'!$G$44:$G$55,"Needs detail")</f>
        <v/>
      </c>
      <c r="H35" s="82">
        <f>COUNTIF('18 Build &amp; Release'!$G$7:$G$13,"Not started")+COUNTIF('18 Build &amp; Release'!$G$17:$G$24,"Not started")+COUNTIF('18 Build &amp; Release'!$G$28:$G$39,"Not started")+COUNTIF('18 Build &amp; Release'!$G$44:$G$55,"Not started")</f>
        <v/>
      </c>
      <c r="I35" s="82">
        <f>SUM(D35:H35)</f>
        <v/>
      </c>
      <c r="J35" s="83">
        <f>IF(I35=0,0,D35/I35)</f>
        <v/>
      </c>
      <c r="K35" s="82">
        <f>COUNTIFS('18 Build &amp; Release'!$G$7:$G$13,"Needs detail",'18 Build &amp; Release'!$E$7:$E$13,"")+COUNTIFS('18 Build &amp; Release'!$G$7:$G$13,"Not started",'18 Build &amp; Release'!$E$7:$E$13,"")+COUNTIFS('18 Build &amp; Release'!$G$17:$G$24,"Needs detail",'18 Build &amp; Release'!$E$17:$E$24,"")+COUNTIFS('18 Build &amp; Release'!$G$17:$G$24,"Not started",'18 Build &amp; Release'!$E$17:$E$24,"")+COUNTIFS('18 Build &amp; Release'!$G$28:$G$39,"Needs detail",'18 Build &amp; Release'!$E$28:$E$39,"")+COUNTIFS('18 Build &amp; Release'!$G$28:$G$39,"Not started",'18 Build &amp; Release'!$E$28:$E$39,"")+COUNTIFS('18 Build &amp; Release'!$G$44:$G$55,"Needs detail",'18 Build &amp; Release'!$E$44:$E$55,"")+COUNTIFS('18 Build &amp; Release'!$G$44:$G$55,"Not started",'18 Build &amp; Release'!$E$44:$E$55,"")</f>
        <v/>
      </c>
    </row>
    <row r="36" ht="15" customHeight="1" s="67">
      <c r="A36" s="79">
        <f>HYPERLINK("#'Source v1'!A1","Source v1")</f>
        <v/>
      </c>
      <c r="B36" s="92" t="inlineStr">
        <is>
          <t>Source</t>
        </is>
      </c>
      <c r="C36" s="81" t="inlineStr">
        <is>
          <t>Original blueprint, verbatim, plus chat addendum</t>
        </is>
      </c>
      <c r="D36" s="82" t="inlineStr">
        <is>
          <t>—</t>
        </is>
      </c>
      <c r="E36" s="82" t="inlineStr">
        <is>
          <t>—</t>
        </is>
      </c>
      <c r="F36" s="82" t="inlineStr">
        <is>
          <t>—</t>
        </is>
      </c>
      <c r="G36" s="82" t="inlineStr">
        <is>
          <t>—</t>
        </is>
      </c>
      <c r="H36" s="82" t="inlineStr">
        <is>
          <t>—</t>
        </is>
      </c>
      <c r="I36" s="82" t="inlineStr">
        <is>
          <t>—</t>
        </is>
      </c>
      <c r="J36" s="83" t="inlineStr">
        <is>
          <t>—</t>
        </is>
      </c>
      <c r="K36" s="82" t="inlineStr">
        <is>
          <t>—</t>
        </is>
      </c>
    </row>
    <row r="37" ht="15" customHeight="1" s="67">
      <c r="A37" s="93" t="inlineStr">
        <is>
          <t>Total</t>
        </is>
      </c>
      <c r="B37" s="94" t="n"/>
      <c r="C37" s="94" t="n"/>
      <c r="D37" s="95">
        <f>SUM(D17:D36)</f>
        <v/>
      </c>
      <c r="E37" s="95">
        <f>SUM(E17:E36)</f>
        <v/>
      </c>
      <c r="F37" s="95">
        <f>SUM(F17:F36)</f>
        <v/>
      </c>
      <c r="G37" s="95">
        <f>SUM(G17:G36)</f>
        <v/>
      </c>
      <c r="H37" s="95">
        <f>SUM(H17:H36)</f>
        <v/>
      </c>
      <c r="I37" s="95">
        <f>SUM(I17:I36)</f>
        <v/>
      </c>
      <c r="J37" s="96">
        <f>IF(I37=0,0,D37/I37)</f>
        <v/>
      </c>
      <c r="K37" s="95">
        <f>SUM(K17:K36)</f>
        <v/>
      </c>
    </row>
    <row r="39" ht="15" customHeight="1" s="67">
      <c r="A39" s="71" t="inlineStr">
        <is>
          <t>Legend</t>
        </is>
      </c>
    </row>
    <row r="40" ht="15.75" customHeight="1" s="67">
      <c r="A40" s="97" t="inlineStr">
        <is>
          <t>Yellow cell</t>
        </is>
      </c>
      <c r="B40" s="98" t="inlineStr">
        <is>
          <t>Yours to fill in or decide — or an input to a calculator (7 Stellar, 8 Hazards, 9 Ships).</t>
        </is>
      </c>
    </row>
    <row r="41" ht="30" customHeight="1" s="67">
      <c r="A41" s="99" t="inlineStr">
        <is>
          <t>Status</t>
        </is>
      </c>
      <c r="B41" s="98" t="inlineStr">
        <is>
          <t>Agreed = decided by you (ready for a spec) · Proposed = Claude's proposal from your answers, awaiting your yes · Draft = from your blueprint, not yet confirmed · Needs detail = a follow-up question is open in chat · Not started = nothing decided.</t>
        </is>
      </c>
    </row>
    <row r="42" ht="30" customHeight="1" s="67">
      <c r="A42" s="99" t="inlineStr">
        <is>
          <t>Origin</t>
        </is>
      </c>
      <c r="B42" s="98" t="inlineStr">
        <is>
          <t>BP rNN = your blueprint row on 'Source v1' · Chat An = your words in chat (addendum) · Ans Q-xx = your answer on tab 16 · Claude = Claude's proposal · Implied rNN = inferred from that row · Project = Project instructions.</t>
        </is>
      </c>
    </row>
    <row r="43" ht="15.75" customHeight="1" s="67">
      <c r="A43" s="99" t="inlineStr">
        <is>
          <t>Open Q</t>
        </is>
      </c>
      <c r="B43" s="98" t="inlineStr">
        <is>
          <t>Q-xx = a row on '16 Open Questions'. Every question now has a resolution column saying where its answer went.</t>
        </is>
      </c>
    </row>
    <row r="44" ht="15.75" customHeight="1" s="67">
      <c r="A44" s="99" t="inlineStr">
        <is>
          <t>Config key</t>
        </is>
      </c>
      <c r="B44" s="98" t="inlineStr">
        <is>
          <t>[section] key as it will appear in controls_config.ini — all on '15 Config Keys'.</t>
        </is>
      </c>
    </row>
    <row r="45" ht="30" customHeight="1" s="67">
      <c r="A45" s="99" t="inlineStr">
        <is>
          <t>IDs</t>
        </is>
      </c>
      <c r="B45" s="98" t="inlineStr">
        <is>
          <t>Stable row IDs (CMD-06, HZ-02 …) cited by specs, tests and DECISIONS.md. Keep them when editing; add new rows with the next number.</t>
        </is>
      </c>
    </row>
    <row r="46" ht="30" customHeight="1" s="67">
      <c r="A46" s="99" t="inlineStr">
        <is>
          <t>Tab colours</t>
        </is>
      </c>
      <c r="B46" s="98" t="inlineStr">
        <is>
          <t>Blue = concept · Teal = terminals · Purple = world · Green = entities · Orange = rules · Slate = config · Red = questions · Dark green = decisions · Black = build · Grey = source.</t>
        </is>
      </c>
    </row>
  </sheetData>
  <mergeCells count="27">
    <mergeCell ref="A39:K39"/>
    <mergeCell ref="B40:K40"/>
    <mergeCell ref="A15:K15"/>
    <mergeCell ref="A11:B11"/>
    <mergeCell ref="C6:J6"/>
    <mergeCell ref="C5:J5"/>
    <mergeCell ref="A6:B6"/>
    <mergeCell ref="B45:K45"/>
    <mergeCell ref="B41:K41"/>
    <mergeCell ref="A7:B7"/>
    <mergeCell ref="C10:J10"/>
    <mergeCell ref="C9:J9"/>
    <mergeCell ref="A12:B12"/>
    <mergeCell ref="C12:J12"/>
    <mergeCell ref="B46:K46"/>
    <mergeCell ref="C11:J11"/>
    <mergeCell ref="A5:B5"/>
    <mergeCell ref="B43:K43"/>
    <mergeCell ref="A14:K14"/>
    <mergeCell ref="A8:B8"/>
    <mergeCell ref="B42:K42"/>
    <mergeCell ref="C8:J8"/>
    <mergeCell ref="A4:K4"/>
    <mergeCell ref="C7:J7"/>
    <mergeCell ref="A10:B10"/>
    <mergeCell ref="B44:K44"/>
    <mergeCell ref="A9:B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tabColor rgb="FF2E75B6"/>
    <outlinePr summaryBelow="1" summaryRight="1"/>
    <pageSetUpPr fitToPage="1"/>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2" customWidth="1" style="66" min="2" max="2"/>
    <col width="74" customWidth="1" style="66" min="3" max="3"/>
    <col width="12" customWidth="1" style="66" min="4" max="4"/>
    <col width="14" customWidth="1" style="66" min="5" max="5"/>
    <col width="13" customWidth="1" style="66" min="6" max="6"/>
  </cols>
  <sheetData>
    <row r="1" ht="17.35" customHeight="1" s="67">
      <c r="A1" s="68" t="inlineStr">
        <is>
          <t>1 · Overview</t>
        </is>
      </c>
    </row>
    <row r="2" ht="15" customHeight="1" s="67">
      <c r="A2" s="69" t="inlineStr">
        <is>
          <t>What the game is, what the player is trying to do, and how a turn runs</t>
        </is>
      </c>
    </row>
    <row r="3" ht="15" customHeight="1" s="67">
      <c r="A3" s="70">
        <f>HYPERLINK("#'0 Index'!A1","↩ Index")</f>
        <v/>
      </c>
    </row>
    <row r="5" ht="15" customHeight="1" s="67">
      <c r="A5" s="100" t="inlineStr">
        <is>
          <t>Concept</t>
        </is>
      </c>
    </row>
    <row r="6" ht="15" customHeight="1" s="67">
      <c r="A6" s="101" t="inlineStr">
        <is>
          <t>ID</t>
        </is>
      </c>
      <c r="B6" s="101" t="inlineStr">
        <is>
          <t>Topic</t>
        </is>
      </c>
      <c r="C6" s="101" t="inlineStr">
        <is>
          <t>Statement</t>
        </is>
      </c>
      <c r="D6" s="101" t="inlineStr">
        <is>
          <t>Open Q</t>
        </is>
      </c>
      <c r="E6" s="101" t="inlineStr">
        <is>
          <t>Origin</t>
        </is>
      </c>
      <c r="F6" s="101" t="inlineStr">
        <is>
          <t>Status</t>
        </is>
      </c>
    </row>
    <row r="7" ht="23.85" customHeight="1" s="67">
      <c r="A7" s="74" t="inlineStr">
        <is>
          <t>OV-01</t>
        </is>
      </c>
      <c r="B7" s="74" t="inlineStr">
        <is>
          <t>Format</t>
        </is>
      </c>
      <c r="C7" s="74" t="inlineStr">
        <is>
          <t>Text-based game played in terminals. Colourful throughout — every terminal uses colour (Rich).</t>
        </is>
      </c>
      <c r="D7" s="74" t="n"/>
      <c r="E7" s="74" t="inlineStr">
        <is>
          <t>BP r3; Chat A8</t>
        </is>
      </c>
      <c r="F7" s="74" t="inlineStr">
        <is>
          <t>Agreed</t>
        </is>
      </c>
    </row>
    <row r="8" ht="23.85" customHeight="1" s="67">
      <c r="A8" s="74" t="inlineStr">
        <is>
          <t>OV-02</t>
        </is>
      </c>
      <c r="B8" s="74" t="inlineStr">
        <is>
          <t>Turn structure</t>
        </is>
      </c>
      <c r="C8" s="74" t="inlineStr">
        <is>
          <t>Turn-based: the player queues any number of orders, then ends the turn; all captains' orders resolve simultaneously in the fixed phase order below.</t>
        </is>
      </c>
      <c r="D8" s="74" t="inlineStr">
        <is>
          <t>Q-01</t>
        </is>
      </c>
      <c r="E8" s="74" t="inlineStr">
        <is>
          <t>BP r4; Ans Q-01</t>
        </is>
      </c>
      <c r="F8" s="74" t="inlineStr">
        <is>
          <t>Agreed</t>
        </is>
      </c>
    </row>
    <row r="9" ht="35.05" customHeight="1" s="67">
      <c r="A9" s="74" t="inlineStr">
        <is>
          <t>OV-02b</t>
        </is>
      </c>
      <c r="B9" s="74" t="inlineStr">
        <is>
          <t>Immediate vs queued</t>
        </is>
      </c>
      <c r="C9" s="74" t="inlineStr">
        <is>
          <t>Immediate (no turn needed): help, status, fleet, ship, view, orders, scan. Queued until 'end': move, warp, fire, shields, peace, escape, trade, upgrade, pickup. A second queued order of the same kind for the same ship replaces the first. A persisting move (CMD-06) counts as that ship's queued move; 'stop' (CMD-21) cancels it.</t>
        </is>
      </c>
      <c r="D9" s="74" t="inlineStr">
        <is>
          <t>Q-01</t>
        </is>
      </c>
      <c r="E9" s="74" t="inlineStr">
        <is>
          <t>Claude</t>
        </is>
      </c>
      <c r="F9" s="74" t="inlineStr">
        <is>
          <t>Proposed</t>
        </is>
      </c>
    </row>
    <row r="10" ht="15" customHeight="1" s="67">
      <c r="A10" s="74" t="inlineStr">
        <is>
          <t>OV-03</t>
        </is>
      </c>
      <c r="B10" s="74" t="inlineStr">
        <is>
          <t>Player role</t>
        </is>
      </c>
      <c r="C10" s="74" t="inlineStr">
        <is>
          <t>The player is the captain of their ship.</t>
        </is>
      </c>
      <c r="D10" s="74" t="n"/>
      <c r="E10" s="74" t="inlineStr">
        <is>
          <t>BP r9</t>
        </is>
      </c>
      <c r="F10" s="74" t="inlineStr">
        <is>
          <t>Draft</t>
        </is>
      </c>
    </row>
    <row r="11" ht="23.85" customHeight="1" s="67">
      <c r="A11" s="74" t="inlineStr">
        <is>
          <t>OV-04</t>
        </is>
      </c>
      <c r="B11" s="74" t="inlineStr">
        <is>
          <t>Exploration</t>
        </is>
      </c>
      <c r="C11" s="74" t="inlineStr">
        <is>
          <t>Starts with one starship and explores the universe: Universe → Galaxies → Sectors → stars / planets / ships / objects.</t>
        </is>
      </c>
      <c r="D11" s="74" t="n"/>
      <c r="E11" s="74" t="inlineStr">
        <is>
          <t>BP r8</t>
        </is>
      </c>
      <c r="F11" s="74" t="inlineStr">
        <is>
          <t>Draft</t>
        </is>
      </c>
    </row>
    <row r="12" ht="23.85" customHeight="1" s="67">
      <c r="A12" s="74" t="inlineStr">
        <is>
          <t>OV-05</t>
        </is>
      </c>
      <c r="B12" s="74" t="inlineStr">
        <is>
          <t>Combat</t>
        </is>
      </c>
      <c r="C12" s="74" t="inlineStr">
        <is>
          <t>Ships (and planets) can battle each other (13 Combat).</t>
        </is>
      </c>
      <c r="D12" s="74" t="inlineStr">
        <is>
          <t>Q-12</t>
        </is>
      </c>
      <c r="E12" s="74" t="inlineStr">
        <is>
          <t>BP r10; Ans Q-21</t>
        </is>
      </c>
      <c r="F12" s="74" t="inlineStr">
        <is>
          <t>Draft</t>
        </is>
      </c>
    </row>
    <row r="13" ht="15" customHeight="1" s="67">
      <c r="A13" s="74" t="inlineStr">
        <is>
          <t>OV-06</t>
        </is>
      </c>
      <c r="B13" s="74" t="inlineStr">
        <is>
          <t>Progression</t>
        </is>
      </c>
      <c r="C13" s="74" t="inlineStr">
        <is>
          <t>Captains gain wealth (gold and silver), items, fear and respect.</t>
        </is>
      </c>
      <c r="D13" s="74" t="n"/>
      <c r="E13" s="74" t="inlineStr">
        <is>
          <t>BP r11, r80</t>
        </is>
      </c>
      <c r="F13" s="74" t="inlineStr">
        <is>
          <t>Draft</t>
        </is>
      </c>
    </row>
    <row r="14" ht="57.45" customHeight="1" s="67">
      <c r="A14" s="74" t="inlineStr">
        <is>
          <t>OV-07</t>
        </is>
      </c>
      <c r="B14" s="74" t="inlineStr">
        <is>
          <t>Endgame — becoming Master of Starbour</t>
        </is>
      </c>
      <c r="C14" s="74" t="inlineStr">
        <is>
          <t>When respect and fear both reach the threshold (e.g. 90 of 100) and the captain holds enough gold and silver, they become eligible to find the ultimate secret item, guarded by ships in a far-away sector. Obtaining it makes them Master of Starbour: max warp, weapons, shields, engine; infinite wealth; respect and fear at maximum; all planets willing to trade.</t>
        </is>
      </c>
      <c r="D14" s="74" t="inlineStr">
        <is>
          <t>Q-15, Q-26</t>
        </is>
      </c>
      <c r="E14" s="74" t="inlineStr">
        <is>
          <t>BP r12; Ans Q-15, Q-26, Q-37</t>
        </is>
      </c>
      <c r="F14" s="74" t="inlineStr">
        <is>
          <t>Agreed</t>
        </is>
      </c>
    </row>
    <row r="15" ht="23.85" customHeight="1" s="67">
      <c r="A15" s="74" t="inlineStr">
        <is>
          <t>OV-08</t>
        </is>
      </c>
      <c r="B15" s="74" t="inlineStr">
        <is>
          <t>Fleet</t>
        </is>
      </c>
      <c r="C15" s="74" t="inlineStr">
        <is>
          <t>A captain may own several ships (no limit) and switch between them from the command terminal.</t>
        </is>
      </c>
      <c r="D15" s="74" t="inlineStr">
        <is>
          <t>Q-13</t>
        </is>
      </c>
      <c r="E15" s="74" t="inlineStr">
        <is>
          <t>BP r13; Ans Q-13</t>
        </is>
      </c>
      <c r="F15" s="74" t="inlineStr">
        <is>
          <t>Agreed</t>
        </is>
      </c>
    </row>
    <row r="16" ht="23.85" customHeight="1" s="67">
      <c r="A16" s="74" t="inlineStr">
        <is>
          <t>OV-09</t>
        </is>
      </c>
      <c r="B16" s="74" t="inlineStr">
        <is>
          <t>Win condition</t>
        </is>
      </c>
      <c r="C16" s="74" t="inlineStr">
        <is>
          <t>The game does not end. Mastery triggers a celebration and ceremony, then play carries on with the max powers.</t>
        </is>
      </c>
      <c r="D16" s="74" t="inlineStr">
        <is>
          <t>Q-16</t>
        </is>
      </c>
      <c r="E16" s="74" t="inlineStr">
        <is>
          <t>Chat A4</t>
        </is>
      </c>
      <c r="F16" s="74" t="inlineStr">
        <is>
          <t>Agreed</t>
        </is>
      </c>
    </row>
    <row r="17" ht="23.85" customHeight="1" s="67">
      <c r="A17" s="74" t="inlineStr">
        <is>
          <t>OV-09b</t>
        </is>
      </c>
      <c r="B17" s="74" t="inlineStr">
        <is>
          <t>Lose condition</t>
        </is>
      </c>
      <c r="C17" s="74" t="inlineStr">
        <is>
          <t>Game over only when the player's active ship is destroyed (the captain is on it); the player starts again.</t>
        </is>
      </c>
      <c r="D17" s="74" t="inlineStr">
        <is>
          <t>Q-29</t>
        </is>
      </c>
      <c r="E17" s="74" t="inlineStr">
        <is>
          <t>Chat A6, A10; Ans Q-29</t>
        </is>
      </c>
      <c r="F17" s="74" t="inlineStr">
        <is>
          <t>Agreed</t>
        </is>
      </c>
    </row>
    <row r="18" ht="15" customHeight="1" s="67">
      <c r="A18" s="74" t="inlineStr">
        <is>
          <t>OV-09c</t>
        </is>
      </c>
      <c r="B18" s="74" t="inlineStr">
        <is>
          <t>'Start again'</t>
        </is>
      </c>
      <c r="C18" s="74" t="inlineStr">
        <is>
          <t>New game = new seed; the save is deleted on game over.</t>
        </is>
      </c>
      <c r="D18" s="74" t="inlineStr">
        <is>
          <t>Q-33</t>
        </is>
      </c>
      <c r="E18" s="74" t="inlineStr">
        <is>
          <t>Ans Q-33</t>
        </is>
      </c>
      <c r="F18" s="74" t="inlineStr">
        <is>
          <t>Agreed</t>
        </is>
      </c>
    </row>
    <row r="19" ht="23.85" customHeight="1" s="67">
      <c r="A19" s="74" t="inlineStr">
        <is>
          <t>OV-10</t>
        </is>
      </c>
      <c r="B19" s="74" t="inlineStr">
        <is>
          <t>Opponents</t>
        </is>
      </c>
      <c r="C19" s="74" t="inlineStr">
        <is>
          <t>Other captains are AI-controlled; they trade, battle, offer peace and progress. Count per galaxy is a config key.</t>
        </is>
      </c>
      <c r="D19" s="74" t="inlineStr">
        <is>
          <t>Q-13</t>
        </is>
      </c>
      <c r="E19" s="74" t="inlineStr">
        <is>
          <t>Implied r90; Claude</t>
        </is>
      </c>
      <c r="F19" s="74" t="inlineStr">
        <is>
          <t>Proposed</t>
        </is>
      </c>
    </row>
    <row r="20" ht="35.05" customHeight="1" s="67">
      <c r="A20" s="74" t="inlineStr">
        <is>
          <t>OV-11</t>
        </is>
      </c>
      <c r="B20" s="74" t="inlineStr">
        <is>
          <t>Pacing</t>
        </is>
      </c>
      <c r="C20" s="74" t="inlineStr">
        <is>
          <t>No fixed turn counts. Rough feel only: a battle every 5–7 turns on average; mastery a long way off. Every number in this workbook is a placeholder tuned by playtest — 'what is appropriate and what works'.</t>
        </is>
      </c>
      <c r="D20" s="74" t="inlineStr">
        <is>
          <t>Q-35</t>
        </is>
      </c>
      <c r="E20" s="74" t="inlineStr">
        <is>
          <t>Ans Q-35; Chat A15, A16</t>
        </is>
      </c>
      <c r="F20" s="74" t="inlineStr">
        <is>
          <t>Agreed</t>
        </is>
      </c>
    </row>
    <row r="21" ht="23.85" customHeight="1" s="67">
      <c r="A21" s="74" t="inlineStr">
        <is>
          <t>OV-12</t>
        </is>
      </c>
      <c r="B21" s="74" t="inlineStr">
        <is>
          <t>Save / load</t>
        </is>
      </c>
      <c r="C21" s="74" t="inlineStr">
        <is>
          <t>Autosave every turn, one slot per game, save deleted on game over. Location: next to the exe.</t>
        </is>
      </c>
      <c r="D21" s="74" t="inlineStr">
        <is>
          <t>Q-33</t>
        </is>
      </c>
      <c r="E21" s="74" t="inlineStr">
        <is>
          <t>Ans Q-33, Q-28</t>
        </is>
      </c>
      <c r="F21" s="74" t="inlineStr">
        <is>
          <t>Agreed</t>
        </is>
      </c>
    </row>
    <row r="22" ht="23.85" customHeight="1" s="67">
      <c r="A22" s="74" t="inlineStr">
        <is>
          <t>OV-13</t>
        </is>
      </c>
      <c r="B22" s="74" t="inlineStr">
        <is>
          <t>Starbour</t>
        </is>
      </c>
      <c r="C22" s="74" t="inlineStr">
        <is>
          <t>'Starbour' is a play on harbour / starship — not the universe's name. 'Master of Starbour' is the title won with the ultimate secret item.</t>
        </is>
      </c>
      <c r="D22" s="74" t="inlineStr">
        <is>
          <t>Q-26</t>
        </is>
      </c>
      <c r="E22" s="74" t="inlineStr">
        <is>
          <t>Ans Q-26</t>
        </is>
      </c>
      <c r="F22" s="74" t="inlineStr">
        <is>
          <t>Agreed</t>
        </is>
      </c>
    </row>
    <row r="23" ht="15" customHeight="1" s="67">
      <c r="A23" s="74" t="n"/>
      <c r="B23" s="74" t="n"/>
      <c r="C23" s="74" t="n"/>
      <c r="D23" s="74" t="n"/>
      <c r="E23" s="74" t="n"/>
      <c r="F23" s="74" t="n"/>
    </row>
    <row r="24" ht="15" customHeight="1" s="67">
      <c r="A24" s="74" t="n"/>
      <c r="B24" s="74" t="n"/>
      <c r="C24" s="74" t="n"/>
      <c r="D24" s="74" t="n"/>
      <c r="E24" s="74" t="n"/>
      <c r="F24" s="74" t="n"/>
    </row>
    <row r="26" ht="15" customHeight="1" s="67">
      <c r="A26" s="100" t="inlineStr">
        <is>
          <t>Turn resolution order</t>
        </is>
      </c>
    </row>
    <row r="27" ht="15" customHeight="1" s="67">
      <c r="A27" s="77" t="inlineStr">
        <is>
          <t>Agreed as option A of Q-01: all captains' orders resolve together, in this fixed order.</t>
        </is>
      </c>
    </row>
    <row r="28" ht="15" customHeight="1" s="67">
      <c r="A28" s="101" t="inlineStr">
        <is>
          <t>ID</t>
        </is>
      </c>
      <c r="B28" s="101" t="inlineStr">
        <is>
          <t>Phase</t>
        </is>
      </c>
      <c r="C28" s="101" t="inlineStr">
        <is>
          <t>What resolves</t>
        </is>
      </c>
      <c r="D28" s="101" t="inlineStr">
        <is>
          <t>Open Q</t>
        </is>
      </c>
      <c r="E28" s="101" t="inlineStr">
        <is>
          <t>Origin</t>
        </is>
      </c>
      <c r="F28" s="101" t="inlineStr">
        <is>
          <t>Status</t>
        </is>
      </c>
    </row>
    <row r="29" ht="15" customHeight="1" s="67">
      <c r="A29" s="74" t="inlineStr">
        <is>
          <t>TP-01</t>
        </is>
      </c>
      <c r="B29" s="74" t="inlineStr">
        <is>
          <t>1 Orders</t>
        </is>
      </c>
      <c r="C29" s="74" t="inlineStr">
        <is>
          <t>Player and AI captains queue orders; the player ends the turn.</t>
        </is>
      </c>
      <c r="D29" s="74" t="n"/>
      <c r="E29" s="74" t="inlineStr">
        <is>
          <t>BP r4; Ans Q-01</t>
        </is>
      </c>
      <c r="F29" s="74" t="inlineStr">
        <is>
          <t>Agreed</t>
        </is>
      </c>
    </row>
    <row r="30" ht="15" customHeight="1" s="67">
      <c r="A30" s="74" t="inlineStr">
        <is>
          <t>TP-02</t>
        </is>
      </c>
      <c r="B30" s="74" t="inlineStr">
        <is>
          <t>2 Movement</t>
        </is>
      </c>
      <c r="C30" s="74" t="inlineStr">
        <is>
          <t>Impulse and warp moves resolve (effective speed = nominal − gravity pull).</t>
        </is>
      </c>
      <c r="D30" s="74" t="inlineStr">
        <is>
          <t>Q-02</t>
        </is>
      </c>
      <c r="E30" s="74" t="inlineStr">
        <is>
          <t>Ans Q-02</t>
        </is>
      </c>
      <c r="F30" s="74" t="inlineStr">
        <is>
          <t>Agreed</t>
        </is>
      </c>
    </row>
    <row r="31" ht="15" customHeight="1" s="67">
      <c r="A31" s="74" t="inlineStr">
        <is>
          <t>TP-03</t>
        </is>
      </c>
      <c r="B31" s="74" t="inlineStr">
        <is>
          <t>3 Hazards</t>
        </is>
      </c>
      <c r="C31" s="74" t="inlineStr">
        <is>
          <t>Gravity countdowns and shield drain apply (8 Hazards).</t>
        </is>
      </c>
      <c r="D31" s="74" t="n"/>
      <c r="E31" s="74" t="inlineStr">
        <is>
          <t>Implied r65–72</t>
        </is>
      </c>
      <c r="F31" s="74" t="inlineStr">
        <is>
          <t>Agreed</t>
        </is>
      </c>
    </row>
    <row r="32" ht="15" customHeight="1" s="67">
      <c r="A32" s="74" t="inlineStr">
        <is>
          <t>TP-04</t>
        </is>
      </c>
      <c r="B32" s="74" t="inlineStr">
        <is>
          <t>4 Combat</t>
        </is>
      </c>
      <c r="C32" s="74" t="inlineStr">
        <is>
          <t>Battles resolve one exchange per turn: destroy / escape / peace (13 Combat).</t>
        </is>
      </c>
      <c r="D32" s="74" t="inlineStr">
        <is>
          <t>Q-12</t>
        </is>
      </c>
      <c r="E32" s="74" t="inlineStr">
        <is>
          <t>Claude</t>
        </is>
      </c>
      <c r="F32" s="74" t="inlineStr">
        <is>
          <t>Proposed</t>
        </is>
      </c>
    </row>
    <row r="33" ht="15" customHeight="1" s="67">
      <c r="A33" s="74" t="inlineStr">
        <is>
          <t>TP-05</t>
        </is>
      </c>
      <c r="B33" s="74" t="inlineStr">
        <is>
          <t>5 Trade &amp; pickup</t>
        </is>
      </c>
      <c r="C33" s="74" t="inlineStr">
        <is>
          <t>Accepted trades settle; upgrades apply; item pickups happen.</t>
        </is>
      </c>
      <c r="D33" s="74" t="n"/>
      <c r="E33" s="74" t="inlineStr">
        <is>
          <t>Ans Q-07, Q-14</t>
        </is>
      </c>
      <c r="F33" s="74" t="inlineStr">
        <is>
          <t>Agreed</t>
        </is>
      </c>
    </row>
    <row r="34" ht="23.85" customHeight="1" s="67">
      <c r="A34" s="74" t="inlineStr">
        <is>
          <t>TP-06</t>
        </is>
      </c>
      <c r="B34" s="74" t="inlineStr">
        <is>
          <t>6 Upkeep</t>
        </is>
      </c>
      <c r="C34" s="74" t="inlineStr">
        <is>
          <t>Food and water −1 each; mutiny check (SUP-03); shields recharge if not in a hazard or battle.</t>
        </is>
      </c>
      <c r="D34" s="74" t="inlineStr">
        <is>
          <t>Q-19</t>
        </is>
      </c>
      <c r="E34" s="74" t="inlineStr">
        <is>
          <t>Ans Q-19; Chat A11; Claude</t>
        </is>
      </c>
      <c r="F34" s="74" t="inlineStr">
        <is>
          <t>Proposed</t>
        </is>
      </c>
    </row>
    <row r="35" ht="15" customHeight="1" s="67">
      <c r="A35" s="74" t="inlineStr">
        <is>
          <t>TP-07</t>
        </is>
      </c>
      <c r="B35" s="74" t="inlineStr">
        <is>
          <t>7 Reputation</t>
        </is>
      </c>
      <c r="C35" s="74" t="inlineStr">
        <is>
          <t>Fear and respect deltas apply (14 Fear &amp; Respect).</t>
        </is>
      </c>
      <c r="D35" s="74" t="n"/>
      <c r="E35" s="74" t="inlineStr">
        <is>
          <t>Implied r94–103</t>
        </is>
      </c>
      <c r="F35" s="74" t="inlineStr">
        <is>
          <t>Agreed</t>
        </is>
      </c>
    </row>
    <row r="36" ht="15" customHeight="1" s="67">
      <c r="A36" s="74" t="inlineStr">
        <is>
          <t>TP-08</t>
        </is>
      </c>
      <c r="B36" s="74" t="inlineStr">
        <is>
          <t>8 Publish &amp; render</t>
        </is>
      </c>
      <c r="C36" s="74" t="inlineStr">
        <is>
          <t>turn.resolved on the bus; T2, T3 and T4 redraw once; autosave.</t>
        </is>
      </c>
      <c r="D36" s="74" t="inlineStr">
        <is>
          <t>Q-31</t>
        </is>
      </c>
      <c r="E36" s="74" t="inlineStr">
        <is>
          <t>Ans Q-31, Q-33</t>
        </is>
      </c>
      <c r="F36" s="74" t="inlineStr">
        <is>
          <t>Agreed</t>
        </is>
      </c>
    </row>
    <row r="37" ht="15" customHeight="1" s="67">
      <c r="A37" s="74" t="n"/>
      <c r="B37" s="74" t="n"/>
      <c r="C37" s="74" t="n"/>
      <c r="D37" s="74" t="n"/>
      <c r="E37" s="74" t="n"/>
      <c r="F37" s="74" t="n"/>
    </row>
  </sheetData>
  <autoFilter ref="A6:F24"/>
  <mergeCells count="3">
    <mergeCell ref="A26:F26"/>
    <mergeCell ref="A5:F5"/>
    <mergeCell ref="A27:F27"/>
  </mergeCells>
  <conditionalFormatting sqref="F7:F24">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F29:F37">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dataValidations count="1">
    <dataValidation sqref="F7:F24 F29:F37"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tabColor rgb="FF2E75B6"/>
    <outlinePr summaryBelow="1" summaryRight="1"/>
    <pageSetUpPr fitToPage="1"/>
  </sheetPr>
  <dimension ref="A1:G46"/>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2" customWidth="1" style="66" min="2" max="2"/>
    <col width="48" customWidth="1" style="66" min="3" max="3"/>
    <col width="30" customWidth="1" style="66" min="4" max="4"/>
    <col width="12" customWidth="1" style="66" min="5" max="5"/>
    <col width="14" customWidth="1" style="66" min="6" max="6"/>
    <col width="13" customWidth="1" style="66" min="7" max="7"/>
  </cols>
  <sheetData>
    <row r="1" ht="17.35" customHeight="1" s="67">
      <c r="A1" s="68" t="inlineStr">
        <is>
          <t>2 · Architecture</t>
        </is>
      </c>
    </row>
    <row r="2" ht="15" customHeight="1" s="67">
      <c r="A2" s="69" t="inlineStr">
        <is>
          <t>Terminals, the message bus, processes and the message catalogue</t>
        </is>
      </c>
    </row>
    <row r="3" ht="15" customHeight="1" s="67">
      <c r="A3" s="70">
        <f>HYPERLINK("#'0 Index'!A1","↩ Index")</f>
        <v/>
      </c>
    </row>
    <row r="5" ht="15" customHeight="1" s="67">
      <c r="A5" s="100" t="inlineStr">
        <is>
          <t>Terminals</t>
        </is>
      </c>
    </row>
    <row r="6" ht="15" customHeight="1" s="67">
      <c r="A6" s="101" t="inlineStr">
        <is>
          <t>ID</t>
        </is>
      </c>
      <c r="B6" s="101" t="inlineStr">
        <is>
          <t>Terminal</t>
        </is>
      </c>
      <c r="C6" s="101" t="inlineStr">
        <is>
          <t>Role</t>
        </is>
      </c>
      <c r="D6" s="101" t="inlineStr">
        <is>
          <t>Detail tab</t>
        </is>
      </c>
      <c r="E6" s="101" t="inlineStr">
        <is>
          <t>Open Q</t>
        </is>
      </c>
      <c r="F6" s="101" t="inlineStr">
        <is>
          <t>Origin</t>
        </is>
      </c>
      <c r="G6" s="101" t="inlineStr">
        <is>
          <t>Status</t>
        </is>
      </c>
    </row>
    <row r="7" ht="23.85" customHeight="1" s="67">
      <c r="A7" s="74" t="inlineStr">
        <is>
          <t>T1</t>
        </is>
      </c>
      <c r="B7" s="74" t="inlineStr">
        <is>
          <t>Command</t>
        </is>
      </c>
      <c r="C7" s="74" t="inlineStr">
        <is>
          <t>Player types orders, switches ships, changes the grid view, ends the turn.</t>
        </is>
      </c>
      <c r="D7" s="74" t="inlineStr">
        <is>
          <t>3 T1 Command</t>
        </is>
      </c>
      <c r="E7" s="74" t="n"/>
      <c r="F7" s="74" t="inlineStr">
        <is>
          <t>BP r17</t>
        </is>
      </c>
      <c r="G7" s="74" t="inlineStr">
        <is>
          <t>Agreed</t>
        </is>
      </c>
    </row>
    <row r="8" ht="23.85" customHeight="1" s="67">
      <c r="A8" s="74" t="inlineStr">
        <is>
          <t>T2</t>
        </is>
      </c>
      <c r="B8" s="74" t="inlineStr">
        <is>
          <t>Grid</t>
        </is>
      </c>
      <c r="C8" s="74" t="inlineStr">
        <is>
          <t>Map at Universe, Galaxy or Sector level; auto-follows the active ship, 'view' overrides.</t>
        </is>
      </c>
      <c r="D8" s="74" t="inlineStr">
        <is>
          <t>4 T2 Grid</t>
        </is>
      </c>
      <c r="E8" s="74" t="inlineStr">
        <is>
          <t>Q-17</t>
        </is>
      </c>
      <c r="F8" s="74" t="inlineStr">
        <is>
          <t>BP r18; Ans Q-17</t>
        </is>
      </c>
      <c r="G8" s="74" t="inlineStr">
        <is>
          <t>Agreed</t>
        </is>
      </c>
    </row>
    <row r="9" ht="15" customHeight="1" s="67">
      <c r="A9" s="74" t="inlineStr">
        <is>
          <t>T3</t>
        </is>
      </c>
      <c r="B9" s="74" t="inlineStr">
        <is>
          <t>Output</t>
        </is>
      </c>
      <c r="C9" s="74" t="inlineStr">
        <is>
          <t>Results, reports, log.</t>
        </is>
      </c>
      <c r="D9" s="74" t="inlineStr">
        <is>
          <t>5 T3 Output</t>
        </is>
      </c>
      <c r="E9" s="74" t="n"/>
      <c r="F9" s="74" t="inlineStr">
        <is>
          <t>BP r19</t>
        </is>
      </c>
      <c r="G9" s="74" t="inlineStr">
        <is>
          <t>Agreed</t>
        </is>
      </c>
    </row>
    <row r="10" ht="15" customHeight="1" s="67">
      <c r="A10" s="74" t="inlineStr">
        <is>
          <t>T4</t>
        </is>
      </c>
      <c r="B10" s="74" t="inlineStr">
        <is>
          <t>Status</t>
        </is>
      </c>
      <c r="C10" s="74" t="inlineStr">
        <is>
          <t>Permanent status panel: captain, active ship, fleet, cargo.</t>
        </is>
      </c>
      <c r="D10" s="74" t="inlineStr">
        <is>
          <t>5b T4 Status</t>
        </is>
      </c>
      <c r="E10" s="74" t="inlineStr">
        <is>
          <t>Q-25</t>
        </is>
      </c>
      <c r="F10" s="74" t="inlineStr">
        <is>
          <t>Ans Q-25</t>
        </is>
      </c>
      <c r="G10" s="74" t="inlineStr">
        <is>
          <t>Agreed</t>
        </is>
      </c>
    </row>
    <row r="11" ht="23.85" customHeight="1" s="67">
      <c r="A11" s="74" t="inlineStr">
        <is>
          <t>T0</t>
        </is>
      </c>
      <c r="B11" s="74" t="inlineStr">
        <is>
          <t>Engine</t>
        </is>
      </c>
      <c r="C11" s="74" t="inlineStr">
        <is>
          <t>Owns the game state; resolves turns; publishes state. Its own process, no window (or a hidden console).</t>
        </is>
      </c>
      <c r="D11" s="74" t="inlineStr">
        <is>
          <t>—</t>
        </is>
      </c>
      <c r="E11" s="74" t="inlineStr">
        <is>
          <t>Q-18</t>
        </is>
      </c>
      <c r="F11" s="74" t="inlineStr">
        <is>
          <t>Ans Q-18</t>
        </is>
      </c>
      <c r="G11" s="74" t="inlineStr">
        <is>
          <t>Agreed</t>
        </is>
      </c>
    </row>
    <row r="12" ht="35.05" customHeight="1" s="67">
      <c r="A12" s="74" t="inlineStr">
        <is>
          <t>TL</t>
        </is>
      </c>
      <c r="B12" s="74" t="inlineStr">
        <is>
          <t>Launcher</t>
        </is>
      </c>
      <c r="C12" s="74" t="inlineStr">
        <is>
          <t>Starts the engine and the four terminals; owns them; closing T1 or the launcher ends the game and kills the rest; closing T2 / T3 / T4 reopens it.</t>
        </is>
      </c>
      <c r="D12" s="74" t="inlineStr">
        <is>
          <t>18 Build &amp; Release</t>
        </is>
      </c>
      <c r="E12" s="74" t="inlineStr">
        <is>
          <t>Q-32</t>
        </is>
      </c>
      <c r="F12" s="74" t="inlineStr">
        <is>
          <t>Ans Q-32</t>
        </is>
      </c>
      <c r="G12" s="74" t="inlineStr">
        <is>
          <t>Agreed</t>
        </is>
      </c>
    </row>
    <row r="14" ht="15" customHeight="1" s="67">
      <c r="A14" s="100" t="inlineStr">
        <is>
          <t>Bus &amp; processes</t>
        </is>
      </c>
    </row>
    <row r="15" ht="15" customHeight="1" s="67">
      <c r="A15" s="101" t="inlineStr">
        <is>
          <t>ID</t>
        </is>
      </c>
      <c r="B15" s="101" t="inlineStr">
        <is>
          <t>Topic</t>
        </is>
      </c>
      <c r="C15" s="101" t="inlineStr">
        <is>
          <t>Statement</t>
        </is>
      </c>
      <c r="D15" s="101" t="inlineStr">
        <is>
          <t>Notes</t>
        </is>
      </c>
      <c r="E15" s="101" t="inlineStr">
        <is>
          <t>Open Q</t>
        </is>
      </c>
      <c r="F15" s="101" t="inlineStr">
        <is>
          <t>Origin</t>
        </is>
      </c>
      <c r="G15" s="101" t="inlineStr">
        <is>
          <t>Status</t>
        </is>
      </c>
    </row>
    <row r="16" ht="15" customHeight="1" s="67">
      <c r="A16" s="74" t="inlineStr">
        <is>
          <t>BUS-01</t>
        </is>
      </c>
      <c r="B16" s="74" t="inlineStr">
        <is>
          <t>Transport</t>
        </is>
      </c>
      <c r="C16" s="74" t="inlineStr">
        <is>
          <t>A message bus connects all processes.</t>
        </is>
      </c>
      <c r="D16" s="74" t="n"/>
      <c r="E16" s="74" t="n"/>
      <c r="F16" s="74" t="inlineStr">
        <is>
          <t>BP r21</t>
        </is>
      </c>
      <c r="G16" s="74" t="inlineStr">
        <is>
          <t>Agreed</t>
        </is>
      </c>
    </row>
    <row r="17" ht="23.85" customHeight="1" s="67">
      <c r="A17" s="74" t="inlineStr">
        <is>
          <t>BUS-02</t>
        </is>
      </c>
      <c r="B17" s="74" t="inlineStr">
        <is>
          <t>Process model</t>
        </is>
      </c>
      <c r="C17" s="74" t="inlineStr">
        <is>
          <t>One process per terminal plus the engine; threads within each.</t>
        </is>
      </c>
      <c r="D17" s="74" t="inlineStr">
        <is>
          <t>Project fixed fact.</t>
        </is>
      </c>
      <c r="E17" s="74" t="n"/>
      <c r="F17" s="74" t="inlineStr">
        <is>
          <t>Project</t>
        </is>
      </c>
      <c r="G17" s="74" t="inlineStr">
        <is>
          <t>Agreed</t>
        </is>
      </c>
    </row>
    <row r="18" ht="35.05" customHeight="1" s="67">
      <c r="A18" s="74" t="inlineStr">
        <is>
          <t>BUS-03</t>
        </is>
      </c>
      <c r="B18" s="74" t="inlineStr">
        <is>
          <t>Technology</t>
        </is>
      </c>
      <c r="C18" s="74" t="inlineStr">
        <is>
          <t>ZeroMQ (pyzmq) over localhost TCP: engine PUB → terminals SUB for state; T1 PUSH → engine PULL for orders.</t>
        </is>
      </c>
      <c r="D18" s="74" t="inlineStr">
        <is>
          <t>Ports are config keys.</t>
        </is>
      </c>
      <c r="E18" s="74" t="inlineStr">
        <is>
          <t>Q-18</t>
        </is>
      </c>
      <c r="F18" s="74" t="inlineStr">
        <is>
          <t>Ans Q-18</t>
        </is>
      </c>
      <c r="G18" s="74" t="inlineStr">
        <is>
          <t>Agreed</t>
        </is>
      </c>
    </row>
    <row r="19" ht="23.85" customHeight="1" s="67">
      <c r="A19" s="74" t="inlineStr">
        <is>
          <t>BUS-04</t>
        </is>
      </c>
      <c r="B19" s="74" t="inlineStr">
        <is>
          <t>Single owner of state</t>
        </is>
      </c>
      <c r="C19" s="74" t="inlineStr">
        <is>
          <t>The engine process is the only writer of game state; terminals are views.</t>
        </is>
      </c>
      <c r="D19" s="74" t="n"/>
      <c r="E19" s="74" t="inlineStr">
        <is>
          <t>Q-18</t>
        </is>
      </c>
      <c r="F19" s="74" t="inlineStr">
        <is>
          <t>Ans Q-18</t>
        </is>
      </c>
      <c r="G19" s="74" t="inlineStr">
        <is>
          <t>Agreed</t>
        </is>
      </c>
    </row>
    <row r="20" ht="23.85" customHeight="1" s="67">
      <c r="A20" s="74" t="inlineStr">
        <is>
          <t>BUS-05</t>
        </is>
      </c>
      <c r="B20" s="74" t="inlineStr">
        <is>
          <t>Refresh model</t>
        </is>
      </c>
      <c r="C20" s="74" t="inlineStr">
        <is>
          <t>Terminals redraw once per turn.resolved, full redraw, target under 0.5 s.</t>
        </is>
      </c>
      <c r="D20" s="74" t="n"/>
      <c r="E20" s="74" t="inlineStr">
        <is>
          <t>Q-31</t>
        </is>
      </c>
      <c r="F20" s="74" t="inlineStr">
        <is>
          <t>Ans Q-31</t>
        </is>
      </c>
      <c r="G20" s="74" t="inlineStr">
        <is>
          <t>Agreed</t>
        </is>
      </c>
    </row>
    <row r="21" ht="23.85" customHeight="1" s="67">
      <c r="A21" s="74" t="inlineStr">
        <is>
          <t>BUS-06</t>
        </is>
      </c>
      <c r="B21" s="74" t="inlineStr">
        <is>
          <t>Startup / shutdown</t>
        </is>
      </c>
      <c r="C21" s="74" t="inlineStr">
        <is>
          <t>Launcher owns child processes; 'quit' or closing T1 → engine saves, launcher terminates all children; no orphans.</t>
        </is>
      </c>
      <c r="D21" s="74" t="inlineStr">
        <is>
          <t>Build gates: 'orphaned processes', 'exe opens and exits'.</t>
        </is>
      </c>
      <c r="E21" s="74" t="inlineStr">
        <is>
          <t>Q-32</t>
        </is>
      </c>
      <c r="F21" s="74" t="inlineStr">
        <is>
          <t>Ans Q-32</t>
        </is>
      </c>
      <c r="G21" s="74" t="inlineStr">
        <is>
          <t>Agreed</t>
        </is>
      </c>
    </row>
    <row r="22" ht="23.85" customHeight="1" s="67">
      <c r="A22" s="74" t="inlineStr">
        <is>
          <t>BUS-07</t>
        </is>
      </c>
      <c r="B22" s="74" t="inlineStr">
        <is>
          <t>Snapshot vs delta</t>
        </is>
      </c>
      <c r="C22" s="74" t="inlineStr">
        <is>
          <t>state.updated carries a full snapshot each turn (simplest; sizes are small).</t>
        </is>
      </c>
      <c r="D22" s="74" t="inlineStr">
        <is>
          <t>Revisit only if redraw exceeds 0.5 s.</t>
        </is>
      </c>
      <c r="E22" s="74" t="inlineStr">
        <is>
          <t>Q-31</t>
        </is>
      </c>
      <c r="F22" s="74" t="inlineStr">
        <is>
          <t>Claude</t>
        </is>
      </c>
      <c r="G22" s="74" t="inlineStr">
        <is>
          <t>Proposed</t>
        </is>
      </c>
    </row>
    <row r="23" ht="15" customHeight="1" s="67">
      <c r="A23" s="74" t="n"/>
      <c r="B23" s="74" t="n"/>
      <c r="C23" s="74" t="n"/>
      <c r="D23" s="74" t="n"/>
      <c r="E23" s="74" t="n"/>
      <c r="F23" s="74" t="n"/>
      <c r="G23" s="74" t="n"/>
    </row>
    <row r="25" ht="15" customHeight="1" s="67">
      <c r="A25" s="100" t="inlineStr">
        <is>
          <t>Message catalogue</t>
        </is>
      </c>
    </row>
    <row r="26" ht="15" customHeight="1" s="67">
      <c r="A26" s="77" t="inlineStr">
        <is>
          <t>Payload fields are proposals; rename freely.</t>
        </is>
      </c>
    </row>
    <row r="27" ht="15" customHeight="1" s="67">
      <c r="A27" s="101" t="inlineStr">
        <is>
          <t>ID</t>
        </is>
      </c>
      <c r="B27" s="101" t="inlineStr">
        <is>
          <t>Message</t>
        </is>
      </c>
      <c r="C27" s="101" t="inlineStr">
        <is>
          <t>Publisher → Subscribers</t>
        </is>
      </c>
      <c r="D27" s="101" t="inlineStr">
        <is>
          <t>Payload (fields)</t>
        </is>
      </c>
      <c r="E27" s="101" t="inlineStr">
        <is>
          <t>Open Q</t>
        </is>
      </c>
      <c r="F27" s="101" t="inlineStr">
        <is>
          <t>Origin</t>
        </is>
      </c>
      <c r="G27" s="101" t="inlineStr">
        <is>
          <t>Status</t>
        </is>
      </c>
    </row>
    <row r="28" ht="15" customHeight="1" s="67">
      <c r="A28" s="74" t="inlineStr">
        <is>
          <t>MSG-01</t>
        </is>
      </c>
      <c r="B28" s="74" t="inlineStr">
        <is>
          <t>order.submitted</t>
        </is>
      </c>
      <c r="C28" s="74" t="inlineStr">
        <is>
          <t>T1 → Engine</t>
        </is>
      </c>
      <c r="D28" s="74" t="inlineStr">
        <is>
          <t>command, args, ship_id, turn_no</t>
        </is>
      </c>
      <c r="E28" s="74" t="n"/>
      <c r="F28" s="74" t="inlineStr">
        <is>
          <t>Claude</t>
        </is>
      </c>
      <c r="G28" s="74" t="inlineStr">
        <is>
          <t>Proposed</t>
        </is>
      </c>
    </row>
    <row r="29" ht="15" customHeight="1" s="67">
      <c r="A29" s="74" t="inlineStr">
        <is>
          <t>MSG-02</t>
        </is>
      </c>
      <c r="B29" s="74" t="inlineStr">
        <is>
          <t>turn.end</t>
        </is>
      </c>
      <c r="C29" s="74" t="inlineStr">
        <is>
          <t>T1 → Engine</t>
        </is>
      </c>
      <c r="D29" s="74" t="inlineStr">
        <is>
          <t>turn_no</t>
        </is>
      </c>
      <c r="E29" s="74" t="n"/>
      <c r="F29" s="74" t="inlineStr">
        <is>
          <t>Claude</t>
        </is>
      </c>
      <c r="G29" s="74" t="inlineStr">
        <is>
          <t>Proposed</t>
        </is>
      </c>
    </row>
    <row r="30" ht="23.85" customHeight="1" s="67">
      <c r="A30" s="74" t="inlineStr">
        <is>
          <t>MSG-03</t>
        </is>
      </c>
      <c r="B30" s="74" t="inlineStr">
        <is>
          <t>turn.resolved</t>
        </is>
      </c>
      <c r="C30" s="74" t="inlineStr">
        <is>
          <t>Engine → T2, T3, T4</t>
        </is>
      </c>
      <c r="D30" s="74" t="inlineStr">
        <is>
          <t>turn_no, full state snapshot, events[]</t>
        </is>
      </c>
      <c r="E30" s="74" t="inlineStr">
        <is>
          <t>Q-31</t>
        </is>
      </c>
      <c r="F30" s="74" t="inlineStr">
        <is>
          <t>Ans Q-31; Claude</t>
        </is>
      </c>
      <c r="G30" s="74" t="inlineStr">
        <is>
          <t>Proposed</t>
        </is>
      </c>
    </row>
    <row r="31" ht="23.85" customHeight="1" s="67">
      <c r="A31" s="74" t="inlineStr">
        <is>
          <t>MSG-04</t>
        </is>
      </c>
      <c r="B31" s="74" t="inlineStr">
        <is>
          <t>view.changed</t>
        </is>
      </c>
      <c r="C31" s="74" t="inlineStr">
        <is>
          <t>T1 → T2</t>
        </is>
      </c>
      <c r="D31" s="74" t="inlineStr">
        <is>
          <t>level (universe / galaxy / sector), focus coordinates</t>
        </is>
      </c>
      <c r="E31" s="74" t="n"/>
      <c r="F31" s="74" t="inlineStr">
        <is>
          <t>Claude</t>
        </is>
      </c>
      <c r="G31" s="74" t="inlineStr">
        <is>
          <t>Proposed</t>
        </is>
      </c>
    </row>
    <row r="32" ht="23.85" customHeight="1" s="67">
      <c r="A32" s="74" t="inlineStr">
        <is>
          <t>MSG-05</t>
        </is>
      </c>
      <c r="B32" s="74" t="inlineStr">
        <is>
          <t>event.log</t>
        </is>
      </c>
      <c r="C32" s="74" t="inlineStr">
        <is>
          <t>Engine → T3</t>
        </is>
      </c>
      <c r="D32" s="74" t="inlineStr">
        <is>
          <t>type, text, severity, turn_no (also inside turn.resolved)</t>
        </is>
      </c>
      <c r="E32" s="74" t="n"/>
      <c r="F32" s="74" t="inlineStr">
        <is>
          <t>Claude</t>
        </is>
      </c>
      <c r="G32" s="74" t="inlineStr">
        <is>
          <t>Proposed</t>
        </is>
      </c>
    </row>
    <row r="33" ht="15" customHeight="1" s="67">
      <c r="A33" s="74" t="inlineStr">
        <is>
          <t>MSG-06</t>
        </is>
      </c>
      <c r="B33" s="74" t="inlineStr">
        <is>
          <t>order.rejected</t>
        </is>
      </c>
      <c r="C33" s="74" t="inlineStr">
        <is>
          <t>Engine → T1, T3</t>
        </is>
      </c>
      <c r="D33" s="74" t="inlineStr">
        <is>
          <t>order, reason</t>
        </is>
      </c>
      <c r="E33" s="74" t="inlineStr">
        <is>
          <t>Q-34</t>
        </is>
      </c>
      <c r="F33" s="74" t="inlineStr">
        <is>
          <t>Ans Q-34</t>
        </is>
      </c>
      <c r="G33" s="74" t="inlineStr">
        <is>
          <t>Proposed</t>
        </is>
      </c>
    </row>
    <row r="34" ht="15" customHeight="1" s="67">
      <c r="A34" s="74" t="inlineStr">
        <is>
          <t>MSG-07</t>
        </is>
      </c>
      <c r="B34" s="74" t="inlineStr">
        <is>
          <t>order.accepted</t>
        </is>
      </c>
      <c r="C34" s="74" t="inlineStr">
        <is>
          <t>Engine → T1</t>
        </is>
      </c>
      <c r="D34" s="74" t="inlineStr">
        <is>
          <t>order, queue position</t>
        </is>
      </c>
      <c r="E34" s="74" t="n"/>
      <c r="F34" s="74" t="inlineStr">
        <is>
          <t>Claude</t>
        </is>
      </c>
      <c r="G34" s="74" t="inlineStr">
        <is>
          <t>Proposed</t>
        </is>
      </c>
    </row>
    <row r="35" ht="15" customHeight="1" s="67">
      <c r="A35" s="74" t="inlineStr">
        <is>
          <t>MSG-08</t>
        </is>
      </c>
      <c r="B35" s="74" t="inlineStr">
        <is>
          <t>system.shutdown</t>
        </is>
      </c>
      <c r="C35" s="74" t="inlineStr">
        <is>
          <t>Launcher → all</t>
        </is>
      </c>
      <c r="D35" s="74" t="inlineStr">
        <is>
          <t>reason</t>
        </is>
      </c>
      <c r="E35" s="74" t="inlineStr">
        <is>
          <t>Q-32</t>
        </is>
      </c>
      <c r="F35" s="74" t="inlineStr">
        <is>
          <t>Ans Q-32</t>
        </is>
      </c>
      <c r="G35" s="74" t="inlineStr">
        <is>
          <t>Proposed</t>
        </is>
      </c>
    </row>
    <row r="36" ht="15" customHeight="1" s="67">
      <c r="A36" s="74" t="inlineStr">
        <is>
          <t>MSG-09</t>
        </is>
      </c>
      <c r="B36" s="74" t="inlineStr">
        <is>
          <t>game.over / game.mastery</t>
        </is>
      </c>
      <c r="C36" s="74" t="inlineStr">
        <is>
          <t>Engine → all</t>
        </is>
      </c>
      <c r="D36" s="74" t="inlineStr">
        <is>
          <t>cause / ceremony payload</t>
        </is>
      </c>
      <c r="E36" s="74" t="inlineStr">
        <is>
          <t>Q-37</t>
        </is>
      </c>
      <c r="F36" s="74" t="inlineStr">
        <is>
          <t>Claude</t>
        </is>
      </c>
      <c r="G36" s="74" t="inlineStr">
        <is>
          <t>Proposed</t>
        </is>
      </c>
    </row>
    <row r="37" ht="15" customHeight="1" s="67">
      <c r="A37" s="74" t="n"/>
      <c r="B37" s="74" t="n"/>
      <c r="C37" s="74" t="n"/>
      <c r="D37" s="74" t="n"/>
      <c r="E37" s="74" t="n"/>
      <c r="F37" s="74" t="n"/>
      <c r="G37" s="74" t="n"/>
    </row>
    <row r="38" ht="15" customHeight="1" s="67">
      <c r="A38" s="74" t="n"/>
      <c r="B38" s="74" t="n"/>
      <c r="C38" s="74" t="n"/>
      <c r="D38" s="74" t="n"/>
      <c r="E38" s="74" t="n"/>
      <c r="F38" s="74" t="n"/>
      <c r="G38" s="74" t="n"/>
    </row>
    <row r="40" ht="15" customHeight="1" s="67">
      <c r="A40" s="100" t="inlineStr">
        <is>
          <t>Diagram — every process talks only to the bus</t>
        </is>
      </c>
    </row>
    <row r="42" ht="15" customHeight="1" s="67">
      <c r="B42" s="102" t="inlineStr">
        <is>
          <t>ZeroMQ bus (localhost)</t>
        </is>
      </c>
      <c r="C42" s="75" t="n"/>
      <c r="D42" s="75" t="n"/>
      <c r="E42" s="75" t="n"/>
      <c r="F42" s="73" t="n"/>
    </row>
    <row r="43" ht="15" customHeight="1" s="67">
      <c r="B43" s="103" t="inlineStr">
        <is>
          <t>▲ ▼</t>
        </is>
      </c>
      <c r="C43" s="103" t="inlineStr">
        <is>
          <t>▲ ▼</t>
        </is>
      </c>
      <c r="D43" s="103" t="inlineStr">
        <is>
          <t>▲ ▼</t>
        </is>
      </c>
      <c r="E43" s="103" t="inlineStr">
        <is>
          <t>▲ ▼</t>
        </is>
      </c>
      <c r="F43" s="103" t="inlineStr">
        <is>
          <t>▲ ▼</t>
        </is>
      </c>
    </row>
    <row r="44" ht="27.75" customHeight="1" s="67">
      <c r="B44" s="104" t="inlineStr">
        <is>
          <t>T2 Grid</t>
        </is>
      </c>
      <c r="C44" s="104" t="inlineStr">
        <is>
          <t>T3 Output</t>
        </is>
      </c>
      <c r="D44" s="104" t="inlineStr">
        <is>
          <t>T4 Status</t>
        </is>
      </c>
      <c r="E44" s="104" t="inlineStr">
        <is>
          <t>T1 Command</t>
        </is>
      </c>
      <c r="F44" s="102" t="inlineStr">
        <is>
          <t>T0 Engine</t>
        </is>
      </c>
    </row>
    <row r="46" ht="15" customHeight="1" s="67">
      <c r="B46" s="69" t="inlineStr">
        <is>
          <t>Launcher starts and owns all six processes (Q-32).</t>
        </is>
      </c>
    </row>
  </sheetData>
  <autoFilter ref="A6:G12"/>
  <mergeCells count="7">
    <mergeCell ref="A14:G14"/>
    <mergeCell ref="A40:G40"/>
    <mergeCell ref="B42:F42"/>
    <mergeCell ref="A26:G26"/>
    <mergeCell ref="B46:F46"/>
    <mergeCell ref="A25:G25"/>
    <mergeCell ref="A5:G5"/>
  </mergeCells>
  <conditionalFormatting sqref="G7:G12">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G16:G23">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G28:G38">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dataValidations count="1">
    <dataValidation sqref="G7:G12 G16:G23 G28:G38"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138D90"/>
    <outlinePr summaryBelow="1" summaryRight="1"/>
    <pageSetUpPr fitToPage="1"/>
  </sheetPr>
  <dimension ref="A1:I50"/>
  <sheetViews>
    <sheetView showFormulas="0" showGridLines="0" showRowColHeaders="1" showZeros="1" rightToLeft="0" tabSelected="0" showOutlineSymbols="1" defaultGridColor="1"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18" customWidth="1" style="66" min="2" max="2"/>
    <col width="30" customWidth="1" style="66" min="3" max="3"/>
    <col width="44" customWidth="1" style="66" min="4" max="4"/>
    <col width="22" customWidth="1" style="66" min="5" max="5"/>
    <col width="26" customWidth="1" style="66" min="6" max="6"/>
    <col width="10" customWidth="1" style="66" min="7" max="7"/>
    <col width="14" customWidth="1" style="66" min="8" max="8"/>
    <col width="13" customWidth="1" style="66" min="9" max="9"/>
  </cols>
  <sheetData>
    <row r="1" ht="17.35" customHeight="1" s="67">
      <c r="A1" s="68" t="inlineStr">
        <is>
          <t>3 · T1 Command terminal</t>
        </is>
      </c>
    </row>
    <row r="2" ht="15" customHeight="1" s="67">
      <c r="A2" s="69" t="inlineStr">
        <is>
          <t>The input terminal: every command the player can type, and how the prompt behaves</t>
        </is>
      </c>
    </row>
    <row r="3" ht="15" customHeight="1" s="67">
      <c r="A3" s="70">
        <f>HYPERLINK("#'0 Index'!A1","↩ Index")</f>
        <v/>
      </c>
    </row>
    <row r="5" ht="15" customHeight="1" s="67">
      <c r="A5" s="105" t="inlineStr">
        <is>
          <t>Purpose</t>
        </is>
      </c>
      <c r="B5" s="73" t="n"/>
      <c r="C5" s="74" t="inlineStr">
        <is>
          <t>Where the player types orders, switches ships, changes the grid view and ends the turn.</t>
        </is>
      </c>
      <c r="D5" s="75" t="n"/>
      <c r="E5" s="75" t="n"/>
      <c r="F5" s="75" t="n"/>
      <c r="G5" s="75" t="n"/>
      <c r="H5" s="73" t="n"/>
      <c r="I5" s="76" t="inlineStr">
        <is>
          <t>BP r17, r13, r18</t>
        </is>
      </c>
    </row>
    <row r="6" ht="15" customHeight="1" s="67">
      <c r="A6" s="105" t="inlineStr">
        <is>
          <t>Process / module</t>
        </is>
      </c>
      <c r="B6" s="73" t="n"/>
      <c r="C6" s="106" t="inlineStr">
        <is>
          <t>TBD — e.g. mos/terminals/command.py</t>
        </is>
      </c>
      <c r="D6" s="75" t="n"/>
      <c r="E6" s="75" t="n"/>
      <c r="F6" s="75" t="n"/>
      <c r="G6" s="75" t="n"/>
      <c r="H6" s="73" t="n"/>
      <c r="I6" s="76" t="inlineStr">
        <is>
          <t>Template</t>
        </is>
      </c>
    </row>
    <row r="7" ht="19.4" customHeight="1" s="67">
      <c r="A7" s="105" t="inlineStr">
        <is>
          <t>Input style</t>
        </is>
      </c>
      <c r="B7" s="73" t="n"/>
      <c r="C7" s="74" t="inlineStr">
        <is>
          <t>Free-text command line with history and tab completion.</t>
        </is>
      </c>
      <c r="D7" s="75" t="n"/>
      <c r="E7" s="75" t="n"/>
      <c r="F7" s="75" t="n"/>
      <c r="G7" s="75" t="n"/>
      <c r="H7" s="73" t="n"/>
      <c r="I7" s="76" t="inlineStr">
        <is>
          <t>Claude · Proposed</t>
        </is>
      </c>
    </row>
    <row r="8" ht="15" customHeight="1" s="67">
      <c r="A8" s="105" t="inlineStr">
        <is>
          <t>Publishes</t>
        </is>
      </c>
      <c r="B8" s="73" t="n"/>
      <c r="C8" s="74" t="inlineStr">
        <is>
          <t>order.submitted, turn.end, view.changed</t>
        </is>
      </c>
      <c r="D8" s="75" t="n"/>
      <c r="E8" s="75" t="n"/>
      <c r="F8" s="75" t="n"/>
      <c r="G8" s="75" t="n"/>
      <c r="H8" s="73" t="n"/>
      <c r="I8" s="76" t="inlineStr">
        <is>
          <t>2 Architecture</t>
        </is>
      </c>
    </row>
    <row r="9" ht="15" customHeight="1" s="67">
      <c r="A9" s="105" t="inlineStr">
        <is>
          <t>Subscribes</t>
        </is>
      </c>
      <c r="B9" s="73" t="n"/>
      <c r="C9" s="74" t="inlineStr">
        <is>
          <t>order.accepted, order.rejected, turn.resolved (unlocks the prompt)</t>
        </is>
      </c>
      <c r="D9" s="75" t="n"/>
      <c r="E9" s="75" t="n"/>
      <c r="F9" s="75" t="n"/>
      <c r="G9" s="75" t="n"/>
      <c r="H9" s="73" t="n"/>
      <c r="I9" s="76" t="inlineStr">
        <is>
          <t>Ans Q-34</t>
        </is>
      </c>
    </row>
    <row r="10" ht="19.4" customHeight="1" s="67">
      <c r="A10" s="105" t="inlineStr">
        <is>
          <t>Library</t>
        </is>
      </c>
      <c r="B10" s="73" t="n"/>
      <c r="C10" s="74" t="inlineStr">
        <is>
          <t>Rich (colour output) + prompt_toolkit (input)</t>
        </is>
      </c>
      <c r="D10" s="75" t="n"/>
      <c r="E10" s="75" t="n"/>
      <c r="F10" s="75" t="n"/>
      <c r="G10" s="75" t="n"/>
      <c r="H10" s="73" t="n"/>
      <c r="I10" s="76" t="inlineStr">
        <is>
          <t>Claude · Proposed</t>
        </is>
      </c>
    </row>
    <row r="12" ht="15" customHeight="1" s="67">
      <c r="A12" s="107" t="inlineStr">
        <is>
          <t>Command catalogue</t>
        </is>
      </c>
    </row>
    <row r="13" ht="15" customHeight="1" s="67">
      <c r="A13" s="77" t="inlineStr">
        <is>
          <t>Immediate = acts at once. Queued = waits for 'end'. Rename freely.</t>
        </is>
      </c>
    </row>
    <row r="14" ht="15" customHeight="1" s="67">
      <c r="A14" s="108" t="inlineStr">
        <is>
          <t>ID</t>
        </is>
      </c>
      <c r="B14" s="108" t="inlineStr">
        <is>
          <t>Command</t>
        </is>
      </c>
      <c r="C14" s="108" t="inlineStr">
        <is>
          <t>Syntax</t>
        </is>
      </c>
      <c r="D14" s="108" t="inlineStr">
        <is>
          <t>What it does</t>
        </is>
      </c>
      <c r="E14" s="108" t="inlineStr">
        <is>
          <t>When valid</t>
        </is>
      </c>
      <c r="F14" s="108" t="inlineStr">
        <is>
          <t>Feedback / errors</t>
        </is>
      </c>
      <c r="G14" s="108" t="inlineStr">
        <is>
          <t>Open Q</t>
        </is>
      </c>
      <c r="H14" s="108" t="inlineStr">
        <is>
          <t>Origin</t>
        </is>
      </c>
      <c r="I14" s="108" t="inlineStr">
        <is>
          <t>Status</t>
        </is>
      </c>
    </row>
    <row r="15" ht="15" customHeight="1" s="67">
      <c r="A15" s="74" t="inlineStr">
        <is>
          <t>CMD-01</t>
        </is>
      </c>
      <c r="B15" s="74" t="inlineStr">
        <is>
          <t>help</t>
        </is>
      </c>
      <c r="C15" s="74" t="inlineStr">
        <is>
          <t>help [command]</t>
        </is>
      </c>
      <c r="D15" s="74" t="inlineStr">
        <is>
          <t>Lists commands, or shows one command's syntax.</t>
        </is>
      </c>
      <c r="E15" s="74" t="inlineStr">
        <is>
          <t>Immediate</t>
        </is>
      </c>
      <c r="F15" s="74" t="n"/>
      <c r="G15" s="74" t="n"/>
      <c r="H15" s="74" t="inlineStr">
        <is>
          <t>Template</t>
        </is>
      </c>
      <c r="I15" s="74" t="inlineStr">
        <is>
          <t>Draft</t>
        </is>
      </c>
    </row>
    <row r="16" ht="23.85" customHeight="1" s="67">
      <c r="A16" s="74" t="inlineStr">
        <is>
          <t>CMD-02</t>
        </is>
      </c>
      <c r="B16" s="74" t="inlineStr">
        <is>
          <t>status</t>
        </is>
      </c>
      <c r="C16" s="74" t="inlineStr">
        <is>
          <t>status</t>
        </is>
      </c>
      <c r="D16" s="74" t="inlineStr">
        <is>
          <t>Shows the active ship's stats and the captain's wealth, fear, respect, food and water.</t>
        </is>
      </c>
      <c r="E16" s="74" t="inlineStr">
        <is>
          <t>Immediate</t>
        </is>
      </c>
      <c r="F16" s="74" t="n"/>
      <c r="G16" s="74" t="n"/>
      <c r="H16" s="74" t="inlineStr">
        <is>
          <t>Implied r75, r80</t>
        </is>
      </c>
      <c r="I16" s="74" t="inlineStr">
        <is>
          <t>Draft</t>
        </is>
      </c>
    </row>
    <row r="17" ht="23.85" customHeight="1" s="67">
      <c r="A17" s="74" t="inlineStr">
        <is>
          <t>CMD-03</t>
        </is>
      </c>
      <c r="B17" s="74" t="inlineStr">
        <is>
          <t>ship</t>
        </is>
      </c>
      <c r="C17" s="74" t="inlineStr">
        <is>
          <t>ship &lt;name | n&gt;</t>
        </is>
      </c>
      <c r="D17" s="74" t="inlineStr">
        <is>
          <t>Switches the active ship.</t>
        </is>
      </c>
      <c r="E17" s="74" t="inlineStr">
        <is>
          <t>Immediate; captain owns more than one ship</t>
        </is>
      </c>
      <c r="F17" s="74" t="inlineStr">
        <is>
          <t>Error if unknown</t>
        </is>
      </c>
      <c r="G17" s="74" t="inlineStr">
        <is>
          <t>Q-13</t>
        </is>
      </c>
      <c r="H17" s="74" t="inlineStr">
        <is>
          <t>BP r13</t>
        </is>
      </c>
      <c r="I17" s="74" t="inlineStr">
        <is>
          <t>Agreed</t>
        </is>
      </c>
    </row>
    <row r="18" ht="15" customHeight="1" s="67">
      <c r="A18" s="74" t="inlineStr">
        <is>
          <t>CMD-04</t>
        </is>
      </c>
      <c r="B18" s="74" t="inlineStr">
        <is>
          <t>fleet</t>
        </is>
      </c>
      <c r="C18" s="74" t="inlineStr">
        <is>
          <t>fleet</t>
        </is>
      </c>
      <c r="D18" s="74" t="inlineStr">
        <is>
          <t>Lists all owned ships, their locations and state.</t>
        </is>
      </c>
      <c r="E18" s="74" t="inlineStr">
        <is>
          <t>Immediate</t>
        </is>
      </c>
      <c r="F18" s="74" t="n"/>
      <c r="G18" s="74" t="inlineStr">
        <is>
          <t>Q-13</t>
        </is>
      </c>
      <c r="H18" s="74" t="inlineStr">
        <is>
          <t>Implied r13</t>
        </is>
      </c>
      <c r="I18" s="74" t="inlineStr">
        <is>
          <t>Draft</t>
        </is>
      </c>
    </row>
    <row r="19" ht="23.85" customHeight="1" s="67">
      <c r="A19" s="74" t="inlineStr">
        <is>
          <t>CMD-05</t>
        </is>
      </c>
      <c r="B19" s="74" t="inlineStr">
        <is>
          <t>view</t>
        </is>
      </c>
      <c r="C19" s="74" t="inlineStr">
        <is>
          <t>view universe | galaxy | sector | follow</t>
        </is>
      </c>
      <c r="D19" s="74" t="inlineStr">
        <is>
          <t>Changes the Grid terminal level; 'follow' returns to auto-follow.</t>
        </is>
      </c>
      <c r="E19" s="74" t="inlineStr">
        <is>
          <t>Immediate</t>
        </is>
      </c>
      <c r="F19" s="74" t="n"/>
      <c r="G19" s="74" t="inlineStr">
        <is>
          <t>Q-17</t>
        </is>
      </c>
      <c r="H19" s="74" t="inlineStr">
        <is>
          <t>BP r18; Ans Q-17</t>
        </is>
      </c>
      <c r="I19" s="74" t="inlineStr">
        <is>
          <t>Agreed</t>
        </is>
      </c>
    </row>
    <row r="20" ht="35.05" customHeight="1" s="67">
      <c r="A20" s="74" t="inlineStr">
        <is>
          <t>CMD-06</t>
        </is>
      </c>
      <c r="B20" s="74" t="inlineStr">
        <is>
          <t>move</t>
        </is>
      </c>
      <c r="C20" s="74" t="inlineStr">
        <is>
          <t>move &lt;dx dy | x y&gt; [speed]</t>
        </is>
      </c>
      <c r="D20" s="74" t="inlineStr">
        <is>
          <t>Impulse move within the sector. speed ≤ engine_power; cells moved per turn = floor(speed − gravity pull). A target beyond this turn's reach is not clipped: the order persists and the ship continues next turn until it arrives, a new move replaces it, or 'stop' cancels it.</t>
        </is>
      </c>
      <c r="E20" s="74" t="inlineStr">
        <is>
          <t>Queued</t>
        </is>
      </c>
      <c r="F20" s="74" t="inlineStr">
        <is>
          <t>Reject if speed &gt; engine_power or target outside the sector</t>
        </is>
      </c>
      <c r="G20" s="74" t="inlineStr">
        <is>
          <t>Q-02</t>
        </is>
      </c>
      <c r="H20" s="74" t="inlineStr">
        <is>
          <t>Ans Q-02; Chat A22</t>
        </is>
      </c>
      <c r="I20" s="74" t="inlineStr">
        <is>
          <t>Agreed</t>
        </is>
      </c>
    </row>
    <row r="21" ht="35.05" customHeight="1" s="67">
      <c r="A21" s="74" t="inlineStr">
        <is>
          <t>CMD-07</t>
        </is>
      </c>
      <c r="B21" s="74" t="inlineStr">
        <is>
          <t>warp</t>
        </is>
      </c>
      <c r="C21" s="74" t="inlineStr">
        <is>
          <t>warp &lt;gx gy&gt; &lt;sx sy&gt; [factor]</t>
        </is>
      </c>
      <c r="D21" s="74" t="inlineStr">
        <is>
          <t>Warp to a sector (in any galaxy). factor ≤ warpcore_power; reach from the warp curve (9 Ships).</t>
        </is>
      </c>
      <c r="E21" s="74" t="inlineStr">
        <is>
          <t>Queued</t>
        </is>
      </c>
      <c r="F21" s="74" t="inlineStr">
        <is>
          <t>Reject if destination beyond reach for the factor</t>
        </is>
      </c>
      <c r="G21" s="74" t="inlineStr">
        <is>
          <t>Q-02</t>
        </is>
      </c>
      <c r="H21" s="74" t="inlineStr">
        <is>
          <t>Ans Q-02</t>
        </is>
      </c>
      <c r="I21" s="74" t="inlineStr">
        <is>
          <t>Agreed</t>
        </is>
      </c>
    </row>
    <row r="22" ht="23.85" customHeight="1" s="67">
      <c r="A22" s="74" t="inlineStr">
        <is>
          <t>CMD-08</t>
        </is>
      </c>
      <c r="B22" s="74" t="inlineStr">
        <is>
          <t>fire</t>
        </is>
      </c>
      <c r="C22" s="74" t="inlineStr">
        <is>
          <t>fire torpedo | phaser &lt;target&gt;</t>
        </is>
      </c>
      <c r="D22" s="74" t="inlineStr">
        <is>
          <t>Attacks a ship or planet in range. Starting a fight costs respect; asks for confirmation.</t>
        </is>
      </c>
      <c r="E22" s="74" t="inlineStr">
        <is>
          <t>Queued; target in range</t>
        </is>
      </c>
      <c r="F22" s="74" t="inlineStr">
        <is>
          <t>Confirm (Q-34)</t>
        </is>
      </c>
      <c r="G22" s="74" t="inlineStr">
        <is>
          <t>Q-12</t>
        </is>
      </c>
      <c r="H22" s="74" t="inlineStr">
        <is>
          <t>Implied r75, r100; Ans Q-34</t>
        </is>
      </c>
      <c r="I22" s="74" t="inlineStr">
        <is>
          <t>Agreed</t>
        </is>
      </c>
    </row>
    <row r="23" ht="23.85" customHeight="1" s="67">
      <c r="A23" s="74" t="inlineStr">
        <is>
          <t>CMD-09</t>
        </is>
      </c>
      <c r="B23" s="74" t="inlineStr">
        <is>
          <t>shields</t>
        </is>
      </c>
      <c r="C23" s="74" t="inlineStr">
        <is>
          <t>shields status</t>
        </is>
      </c>
      <c r="D23" s="74" t="inlineStr">
        <is>
          <t>Shows current / max shields. Shield power is not adjustable — it drains and recharges.</t>
        </is>
      </c>
      <c r="E23" s="74" t="inlineStr">
        <is>
          <t>Immediate</t>
        </is>
      </c>
      <c r="F23" s="74" t="n"/>
      <c r="G23" s="74" t="inlineStr">
        <is>
          <t>Q-12</t>
        </is>
      </c>
      <c r="H23" s="74" t="inlineStr">
        <is>
          <t>Claude</t>
        </is>
      </c>
      <c r="I23" s="74" t="inlineStr">
        <is>
          <t>Proposed</t>
        </is>
      </c>
    </row>
    <row r="24" ht="23.85" customHeight="1" s="67">
      <c r="A24" s="74" t="inlineStr">
        <is>
          <t>CMD-10</t>
        </is>
      </c>
      <c r="B24" s="74" t="inlineStr">
        <is>
          <t>peace</t>
        </is>
      </c>
      <c r="C24" s="74" t="inlineStr">
        <is>
          <t>peace offer | accept | reject &lt;captain | planet&gt;</t>
        </is>
      </c>
      <c r="D24" s="74" t="inlineStr">
        <is>
          <t>Offers, accepts or rejects peace during a battle.</t>
        </is>
      </c>
      <c r="E24" s="74" t="inlineStr">
        <is>
          <t>Queued; during a battle</t>
        </is>
      </c>
      <c r="F24" s="74" t="n"/>
      <c r="G24" s="74" t="inlineStr">
        <is>
          <t>Q-12</t>
        </is>
      </c>
      <c r="H24" s="74" t="inlineStr">
        <is>
          <t>Implied r99, r108</t>
        </is>
      </c>
      <c r="I24" s="74" t="inlineStr">
        <is>
          <t>Draft</t>
        </is>
      </c>
    </row>
    <row r="25" ht="23.85" customHeight="1" s="67">
      <c r="A25" s="74" t="inlineStr">
        <is>
          <t>CMD-11</t>
        </is>
      </c>
      <c r="B25" s="74" t="inlineStr">
        <is>
          <t>escape</t>
        </is>
      </c>
      <c r="C25" s="74" t="inlineStr">
        <is>
          <t>escape &lt;dx dy&gt;</t>
        </is>
      </c>
      <c r="D25" s="74" t="inlineStr">
        <is>
          <t>Moves out of all enemies' weapon range; succeeds if the move completes (no dice).</t>
        </is>
      </c>
      <c r="E25" s="74" t="inlineStr">
        <is>
          <t>Queued; during a battle</t>
        </is>
      </c>
      <c r="F25" s="74" t="n"/>
      <c r="G25" s="74" t="inlineStr">
        <is>
          <t>Q-12</t>
        </is>
      </c>
      <c r="H25" s="74" t="inlineStr">
        <is>
          <t>Claude</t>
        </is>
      </c>
      <c r="I25" s="74" t="inlineStr">
        <is>
          <t>Proposed</t>
        </is>
      </c>
    </row>
    <row r="26" ht="23.85" customHeight="1" s="67">
      <c r="A26" s="74" t="inlineStr">
        <is>
          <t>CMD-12</t>
        </is>
      </c>
      <c r="B26" s="74" t="inlineStr">
        <is>
          <t>trade</t>
        </is>
      </c>
      <c r="C26" s="74" t="inlineStr">
        <is>
          <t>trade &lt;captain | planet&gt; give &lt;items&gt; for &lt;items&gt;</t>
        </is>
      </c>
      <c r="D26" s="74" t="inlineStr">
        <is>
          <t>Proposes a trade of items, gold or silver. 1 gold = 20 silver.</t>
        </is>
      </c>
      <c r="E26" s="74" t="inlineStr">
        <is>
          <t>Queued; counterparty in the same cell</t>
        </is>
      </c>
      <c r="F26" s="74" t="n"/>
      <c r="G26" s="74" t="inlineStr">
        <is>
          <t>Q-14</t>
        </is>
      </c>
      <c r="H26" s="74" t="inlineStr">
        <is>
          <t>Ans Q-14; Claude</t>
        </is>
      </c>
      <c r="I26" s="74" t="inlineStr">
        <is>
          <t>Proposed</t>
        </is>
      </c>
    </row>
    <row r="27" ht="35.05" customHeight="1" s="67">
      <c r="A27" s="74" t="inlineStr">
        <is>
          <t>CMD-13</t>
        </is>
      </c>
      <c r="B27" s="74" t="inlineStr">
        <is>
          <t>upgrade</t>
        </is>
      </c>
      <c r="C27" s="74" t="inlineStr">
        <is>
          <t>upgrade &lt;component&gt; with &lt;element&gt;</t>
        </is>
      </c>
      <c r="D27" s="74" t="inlineStr">
        <is>
          <t>Spends an element to improve torpedoes, phasers, shields, engine or warp core (12 Trade, upgrade map).</t>
        </is>
      </c>
      <c r="E27" s="74" t="inlineStr">
        <is>
          <t>Queued</t>
        </is>
      </c>
      <c r="F27" s="74" t="inlineStr">
        <is>
          <t>Reject if the element does not improve that component</t>
        </is>
      </c>
      <c r="G27" s="74" t="inlineStr">
        <is>
          <t>Q-14</t>
        </is>
      </c>
      <c r="H27" s="74" t="inlineStr">
        <is>
          <t>BP r91</t>
        </is>
      </c>
      <c r="I27" s="74" t="inlineStr">
        <is>
          <t>Draft</t>
        </is>
      </c>
    </row>
    <row r="28" ht="23.85" customHeight="1" s="67">
      <c r="A28" s="74" t="inlineStr">
        <is>
          <t>CMD-14</t>
        </is>
      </c>
      <c r="B28" s="74" t="inlineStr">
        <is>
          <t>scan</t>
        </is>
      </c>
      <c r="C28" s="74" t="inlineStr">
        <is>
          <t>scan</t>
        </is>
      </c>
      <c r="D28" s="74" t="inlineStr">
        <is>
          <t>Reveals what is in the current cell (items) and, with fog of war on, the surrounding sector.</t>
        </is>
      </c>
      <c r="E28" s="74" t="inlineStr">
        <is>
          <t>Immediate</t>
        </is>
      </c>
      <c r="F28" s="74" t="n"/>
      <c r="G28" s="74" t="inlineStr">
        <is>
          <t>Q-07, Q-30</t>
        </is>
      </c>
      <c r="H28" s="74" t="inlineStr">
        <is>
          <t>Ans Q-07, Q-30</t>
        </is>
      </c>
      <c r="I28" s="74" t="inlineStr">
        <is>
          <t>Agreed</t>
        </is>
      </c>
    </row>
    <row r="29" ht="23.85" customHeight="1" s="67">
      <c r="A29" s="74" t="inlineStr">
        <is>
          <t>CMD-15</t>
        </is>
      </c>
      <c r="B29" s="74" t="inlineStr">
        <is>
          <t>pickup</t>
        </is>
      </c>
      <c r="C29" s="74" t="inlineStr">
        <is>
          <t>pickup &lt;item&gt;</t>
        </is>
      </c>
      <c r="D29" s="74" t="inlineStr">
        <is>
          <t>Picks up an item in the current cell after a scan. Items are never picked up automatically.</t>
        </is>
      </c>
      <c r="E29" s="74" t="inlineStr">
        <is>
          <t>Queued; item in cell and scanned</t>
        </is>
      </c>
      <c r="F29" s="74" t="n"/>
      <c r="G29" s="74" t="inlineStr">
        <is>
          <t>Q-07</t>
        </is>
      </c>
      <c r="H29" s="74" t="inlineStr">
        <is>
          <t>Ans Q-07</t>
        </is>
      </c>
      <c r="I29" s="74" t="inlineStr">
        <is>
          <t>Agreed</t>
        </is>
      </c>
    </row>
    <row r="30" ht="23.85" customHeight="1" s="67">
      <c r="A30" s="74" t="inlineStr">
        <is>
          <t>CMD-16</t>
        </is>
      </c>
      <c r="B30" s="74" t="inlineStr">
        <is>
          <t>orders</t>
        </is>
      </c>
      <c r="C30" s="74" t="inlineStr">
        <is>
          <t>orders [cancel n]</t>
        </is>
      </c>
      <c r="D30" s="74" t="inlineStr">
        <is>
          <t>Reviews or cancels queued orders before the turn ends.</t>
        </is>
      </c>
      <c r="E30" s="74" t="inlineStr">
        <is>
          <t>Immediate</t>
        </is>
      </c>
      <c r="F30" s="74" t="n"/>
      <c r="G30" s="74" t="inlineStr">
        <is>
          <t>Q-01</t>
        </is>
      </c>
      <c r="H30" s="74" t="inlineStr">
        <is>
          <t>Template</t>
        </is>
      </c>
      <c r="I30" s="74" t="inlineStr">
        <is>
          <t>Draft</t>
        </is>
      </c>
    </row>
    <row r="31" ht="35.05" customHeight="1" s="67">
      <c r="A31" s="74" t="inlineStr">
        <is>
          <t>CMD-17</t>
        </is>
      </c>
      <c r="B31" s="74" t="inlineStr">
        <is>
          <t>end</t>
        </is>
      </c>
      <c r="C31" s="74" t="inlineStr">
        <is>
          <t>end</t>
        </is>
      </c>
      <c r="D31" s="74" t="inlineStr">
        <is>
          <t>Ends the turn; all queued orders execute.</t>
        </is>
      </c>
      <c r="E31" s="74" t="inlineStr">
        <is>
          <t>Immediate</t>
        </is>
      </c>
      <c r="F31" s="74" t="inlineStr">
        <is>
          <t>Confirm if a hazard countdown is running and no move is queued</t>
        </is>
      </c>
      <c r="G31" s="74" t="inlineStr">
        <is>
          <t>Q-01, Q-34</t>
        </is>
      </c>
      <c r="H31" s="74" t="inlineStr">
        <is>
          <t>BP r4</t>
        </is>
      </c>
      <c r="I31" s="74" t="inlineStr">
        <is>
          <t>Agreed</t>
        </is>
      </c>
    </row>
    <row r="32" ht="23.85" customHeight="1" s="67">
      <c r="A32" s="74" t="inlineStr">
        <is>
          <t>CMD-18</t>
        </is>
      </c>
      <c r="B32" s="74" t="inlineStr">
        <is>
          <t>quit</t>
        </is>
      </c>
      <c r="C32" s="74" t="inlineStr">
        <is>
          <t>quit</t>
        </is>
      </c>
      <c r="D32" s="74" t="inlineStr">
        <is>
          <t>Confirms, autosaves, then the launcher closes every window.</t>
        </is>
      </c>
      <c r="E32" s="74" t="inlineStr">
        <is>
          <t>Immediate</t>
        </is>
      </c>
      <c r="F32" s="74" t="inlineStr">
        <is>
          <t>Confirm</t>
        </is>
      </c>
      <c r="G32" s="74" t="inlineStr">
        <is>
          <t>Q-32, Q-34</t>
        </is>
      </c>
      <c r="H32" s="74" t="inlineStr">
        <is>
          <t>Ans Q-32, Q-34</t>
        </is>
      </c>
      <c r="I32" s="74" t="inlineStr">
        <is>
          <t>Agreed</t>
        </is>
      </c>
    </row>
    <row r="33" ht="23.85" customHeight="1" s="67">
      <c r="A33" s="74" t="inlineStr">
        <is>
          <t>CMD-19</t>
        </is>
      </c>
      <c r="B33" s="74" t="inlineStr">
        <is>
          <t>new</t>
        </is>
      </c>
      <c r="C33" s="74" t="inlineStr">
        <is>
          <t>new [seed]</t>
        </is>
      </c>
      <c r="D33" s="74" t="inlineStr">
        <is>
          <t>Starts a new game (new seed). Offered after game over; also available any time with confirmation.</t>
        </is>
      </c>
      <c r="E33" s="74" t="inlineStr">
        <is>
          <t>Immediate</t>
        </is>
      </c>
      <c r="F33" s="74" t="inlineStr">
        <is>
          <t>Confirm</t>
        </is>
      </c>
      <c r="G33" s="74" t="inlineStr">
        <is>
          <t>Q-33</t>
        </is>
      </c>
      <c r="H33" s="74" t="inlineStr">
        <is>
          <t>Ans Q-33</t>
        </is>
      </c>
      <c r="I33" s="74" t="inlineStr">
        <is>
          <t>Agreed</t>
        </is>
      </c>
    </row>
    <row r="34" ht="23.85" customHeight="1" s="67">
      <c r="A34" s="74" t="inlineStr">
        <is>
          <t>CMD-20</t>
        </is>
      </c>
      <c r="B34" s="74" t="inlineStr">
        <is>
          <t>buy / sell</t>
        </is>
      </c>
      <c r="C34" s="74" t="inlineStr">
        <is>
          <t>buy &lt;item&gt; &lt;qty&gt; / sell &lt;item&gt; &lt;qty&gt;</t>
        </is>
      </c>
      <c r="D34" s="74" t="inlineStr">
        <is>
          <t>Buys from or sells to the planet in the current cell at its prices (shortcut for trade with a planet).</t>
        </is>
      </c>
      <c r="E34" s="74" t="inlineStr">
        <is>
          <t>Queued; planet in cell</t>
        </is>
      </c>
      <c r="F34" s="74" t="n"/>
      <c r="G34" s="74" t="inlineStr">
        <is>
          <t>Q-14</t>
        </is>
      </c>
      <c r="H34" s="74" t="inlineStr">
        <is>
          <t>Ans Q-14; Claude</t>
        </is>
      </c>
      <c r="I34" s="74" t="inlineStr">
        <is>
          <t>Proposed</t>
        </is>
      </c>
    </row>
    <row r="35" ht="23.85" customHeight="1" s="67">
      <c r="A35" s="109" t="inlineStr">
        <is>
          <t>CMD-21</t>
        </is>
      </c>
      <c r="B35" s="109" t="inlineStr">
        <is>
          <t>stop</t>
        </is>
      </c>
      <c r="C35" s="109" t="inlineStr">
        <is>
          <t>stop [all]</t>
        </is>
      </c>
      <c r="D35" s="109" t="inlineStr">
        <is>
          <t>All stop: cancels the active ship's persisting move and any queued move for this turn. 'stop all' (alias 'all stop') does it for every owned ship. Syntax is Claude's; the command is yours.</t>
        </is>
      </c>
      <c r="E35" s="109" t="inlineStr">
        <is>
          <t>Immediate</t>
        </is>
      </c>
      <c r="F35" s="109" t="inlineStr">
        <is>
          <t>Info message if there is nothing to stop</t>
        </is>
      </c>
      <c r="G35" s="109" t="inlineStr">
        <is>
          <t>Q-02</t>
        </is>
      </c>
      <c r="H35" s="109" t="inlineStr">
        <is>
          <t>Chat A22</t>
        </is>
      </c>
      <c r="I35" s="109" t="inlineStr">
        <is>
          <t>Agreed</t>
        </is>
      </c>
    </row>
    <row r="36" ht="15" customHeight="1" s="67">
      <c r="A36" s="74" t="n"/>
      <c r="B36" s="74" t="n"/>
      <c r="C36" s="74" t="n"/>
      <c r="D36" s="74" t="n"/>
      <c r="E36" s="74" t="n"/>
      <c r="F36" s="74" t="n"/>
      <c r="G36" s="74" t="n"/>
      <c r="H36" s="74" t="n"/>
      <c r="I36" s="74" t="n"/>
    </row>
    <row r="37" ht="15" customHeight="1" s="67">
      <c r="A37" s="74" t="n"/>
      <c r="B37" s="74" t="n"/>
      <c r="C37" s="74" t="n"/>
      <c r="D37" s="74" t="n"/>
      <c r="E37" s="74" t="n"/>
      <c r="F37" s="74" t="n"/>
      <c r="G37" s="74" t="n"/>
      <c r="H37" s="74" t="n"/>
      <c r="I37" s="74" t="n"/>
    </row>
    <row r="39" ht="15" customHeight="1" s="67">
      <c r="A39" s="107" t="inlineStr">
        <is>
          <t>Prompt &amp; interaction</t>
        </is>
      </c>
    </row>
    <row r="40" ht="15" customHeight="1" s="67">
      <c r="A40" s="108" t="inlineStr">
        <is>
          <t>ID</t>
        </is>
      </c>
      <c r="B40" s="108" t="inlineStr">
        <is>
          <t>Aspect</t>
        </is>
      </c>
      <c r="C40" s="108" t="inlineStr">
        <is>
          <t>Current thinking</t>
        </is>
      </c>
      <c r="D40" s="108" t="inlineStr">
        <is>
          <t>Example</t>
        </is>
      </c>
      <c r="E40" s="108" t="inlineStr">
        <is>
          <t>Edge cases</t>
        </is>
      </c>
      <c r="F40" s="108" t="inlineStr">
        <is>
          <t>Notes</t>
        </is>
      </c>
      <c r="G40" s="108" t="inlineStr">
        <is>
          <t>Open Q</t>
        </is>
      </c>
      <c r="H40" s="108" t="inlineStr">
        <is>
          <t>Origin</t>
        </is>
      </c>
      <c r="I40" s="108" t="inlineStr">
        <is>
          <t>Status</t>
        </is>
      </c>
    </row>
    <row r="41" ht="23.85" customHeight="1" s="67">
      <c r="A41" s="74" t="inlineStr">
        <is>
          <t>UX-01</t>
        </is>
      </c>
      <c r="B41" s="74" t="inlineStr">
        <is>
          <t>Prompt format</t>
        </is>
      </c>
      <c r="C41" s="74" t="inlineStr">
        <is>
          <t>Turn number, active ship, queued-order count.</t>
        </is>
      </c>
      <c r="D41" s="74" t="inlineStr">
        <is>
          <t>[T12 · Kestrel · 2 orders] &gt;</t>
        </is>
      </c>
      <c r="E41" s="74" t="n"/>
      <c r="F41" s="74" t="n"/>
      <c r="G41" s="74" t="n"/>
      <c r="H41" s="74" t="inlineStr">
        <is>
          <t>Claude</t>
        </is>
      </c>
      <c r="I41" s="74" t="inlineStr">
        <is>
          <t>Proposed</t>
        </is>
      </c>
    </row>
    <row r="42" ht="35.05" customHeight="1" s="67">
      <c r="A42" s="74" t="inlineStr">
        <is>
          <t>UX-02</t>
        </is>
      </c>
      <c r="B42" s="74" t="inlineStr">
        <is>
          <t>Many orders per turn</t>
        </is>
      </c>
      <c r="C42" s="74" t="inlineStr">
        <is>
          <t>Orders are queued, then 'end' executes them all.</t>
        </is>
      </c>
      <c r="D42" s="74" t="n"/>
      <c r="E42" s="74" t="inlineStr">
        <is>
          <t>Same-kind order for the same ship replaces the earlier one (OV-02b).</t>
        </is>
      </c>
      <c r="F42" s="74" t="n"/>
      <c r="G42" s="74" t="inlineStr">
        <is>
          <t>Q-01</t>
        </is>
      </c>
      <c r="H42" s="74" t="inlineStr">
        <is>
          <t>BP r4; Ans Q-01</t>
        </is>
      </c>
      <c r="I42" s="74" t="inlineStr">
        <is>
          <t>Agreed</t>
        </is>
      </c>
    </row>
    <row r="43" ht="35.05" customHeight="1" s="67">
      <c r="A43" s="74" t="inlineStr">
        <is>
          <t>UX-03</t>
        </is>
      </c>
      <c r="B43" s="74" t="inlineStr">
        <is>
          <t>Error display</t>
        </is>
      </c>
      <c r="C43" s="74" t="inlineStr">
        <is>
          <t>Rejected orders and invalid commands show inline on T1 and are echoed to the T3 log.</t>
        </is>
      </c>
      <c r="D43" s="74" t="n"/>
      <c r="E43" s="74" t="n"/>
      <c r="F43" s="74" t="n"/>
      <c r="G43" s="74" t="inlineStr">
        <is>
          <t>Q-34</t>
        </is>
      </c>
      <c r="H43" s="74" t="inlineStr">
        <is>
          <t>Ans Q-34</t>
        </is>
      </c>
      <c r="I43" s="74" t="inlineStr">
        <is>
          <t>Agreed</t>
        </is>
      </c>
    </row>
    <row r="44" ht="35.05" customHeight="1" s="67">
      <c r="A44" s="74" t="inlineStr">
        <is>
          <t>UX-04</t>
        </is>
      </c>
      <c r="B44" s="74" t="inlineStr">
        <is>
          <t>Confirmations</t>
        </is>
      </c>
      <c r="C44" s="74" t="inlineStr">
        <is>
          <t>Confirm before: starting a fight, quit, new game, ending a turn inside a hazard with no move queued.</t>
        </is>
      </c>
      <c r="D44" s="74" t="n"/>
      <c r="E44" s="74" t="n"/>
      <c r="F44" s="74" t="n"/>
      <c r="G44" s="74" t="inlineStr">
        <is>
          <t>Q-34</t>
        </is>
      </c>
      <c r="H44" s="74" t="inlineStr">
        <is>
          <t>Ans Q-34</t>
        </is>
      </c>
      <c r="I44" s="74" t="inlineStr">
        <is>
          <t>Agreed</t>
        </is>
      </c>
    </row>
    <row r="45" ht="35.05" customHeight="1" s="67">
      <c r="A45" s="74" t="inlineStr">
        <is>
          <t>UX-05</t>
        </is>
      </c>
      <c r="B45" s="74" t="inlineStr">
        <is>
          <t>History / autocomplete</t>
        </is>
      </c>
      <c r="C45" s="74" t="inlineStr">
        <is>
          <t>Arrow-key history; tab completion of commands, ship, captain and planet names.</t>
        </is>
      </c>
      <c r="D45" s="74" t="n"/>
      <c r="E45" s="74" t="n"/>
      <c r="F45" s="74" t="n"/>
      <c r="G45" s="74" t="n"/>
      <c r="H45" s="74" t="inlineStr">
        <is>
          <t>Claude</t>
        </is>
      </c>
      <c r="I45" s="74" t="inlineStr">
        <is>
          <t>Proposed</t>
        </is>
      </c>
    </row>
    <row r="46" ht="23.85" customHeight="1" s="67">
      <c r="A46" s="74" t="inlineStr">
        <is>
          <t>UX-06</t>
        </is>
      </c>
      <c r="B46" s="74" t="inlineStr">
        <is>
          <t>Waiting for resolution</t>
        </is>
      </c>
      <c r="C46" s="74" t="inlineStr">
        <is>
          <t>Prompt locks after 'end' and shows a spinner until turn.resolved.</t>
        </is>
      </c>
      <c r="D46" s="74" t="n"/>
      <c r="E46" s="74" t="n"/>
      <c r="F46" s="74" t="n"/>
      <c r="G46" s="74" t="n"/>
      <c r="H46" s="74" t="inlineStr">
        <is>
          <t>Claude</t>
        </is>
      </c>
      <c r="I46" s="74" t="inlineStr">
        <is>
          <t>Proposed</t>
        </is>
      </c>
    </row>
    <row r="47" ht="35.05" customHeight="1" s="67">
      <c r="A47" s="74" t="inlineStr">
        <is>
          <t>UX-07</t>
        </is>
      </c>
      <c r="B47" s="74" t="inlineStr">
        <is>
          <t>Orders per ship</t>
        </is>
      </c>
      <c r="C47" s="74" t="inlineStr">
        <is>
          <t>Each owned ship has its own order queue; 'ship' switches which queue you are filling.</t>
        </is>
      </c>
      <c r="D47" s="74" t="n"/>
      <c r="E47" s="74" t="n"/>
      <c r="F47" s="74" t="n"/>
      <c r="G47" s="74" t="inlineStr">
        <is>
          <t>Q-13</t>
        </is>
      </c>
      <c r="H47" s="74" t="inlineStr">
        <is>
          <t>Claude</t>
        </is>
      </c>
      <c r="I47" s="74" t="inlineStr">
        <is>
          <t>Proposed</t>
        </is>
      </c>
    </row>
    <row r="48" ht="35.05" customHeight="1" s="67">
      <c r="A48" s="74" t="inlineStr">
        <is>
          <t>UX-08</t>
        </is>
      </c>
      <c r="B48" s="74" t="inlineStr">
        <is>
          <t>Colour</t>
        </is>
      </c>
      <c r="C48" s="74" t="inlineStr">
        <is>
          <t>Commands, errors, warnings and confirmations each have their own colour; same palette as T2 / T3 / T4.</t>
        </is>
      </c>
      <c r="D48" s="74" t="n"/>
      <c r="E48" s="74" t="n"/>
      <c r="F48" s="74" t="n"/>
      <c r="G48" s="74" t="n"/>
      <c r="H48" s="74" t="inlineStr">
        <is>
          <t>Chat A8</t>
        </is>
      </c>
      <c r="I48" s="74" t="inlineStr">
        <is>
          <t>Agreed</t>
        </is>
      </c>
    </row>
    <row r="49" ht="15" customHeight="1" s="67">
      <c r="A49" s="74" t="n"/>
      <c r="B49" s="74" t="n"/>
      <c r="C49" s="74" t="n"/>
      <c r="D49" s="74" t="n"/>
      <c r="E49" s="74" t="n"/>
      <c r="F49" s="74" t="n"/>
      <c r="G49" s="74" t="n"/>
      <c r="H49" s="74" t="n"/>
      <c r="I49" s="74" t="n"/>
    </row>
    <row r="50" ht="15" customHeight="1" s="67">
      <c r="A50" s="74" t="n"/>
      <c r="B50" s="74" t="n"/>
      <c r="C50" s="74" t="n"/>
      <c r="D50" s="74" t="n"/>
      <c r="E50" s="74" t="n"/>
      <c r="F50" s="74" t="n"/>
      <c r="G50" s="74" t="n"/>
      <c r="H50" s="74" t="n"/>
      <c r="I50" s="74" t="n"/>
    </row>
  </sheetData>
  <autoFilter ref="A14:I37"/>
  <mergeCells count="15">
    <mergeCell ref="A6:B6"/>
    <mergeCell ref="C6:H6"/>
    <mergeCell ref="C10:H10"/>
    <mergeCell ref="A7:B7"/>
    <mergeCell ref="C5:H5"/>
    <mergeCell ref="A13:I13"/>
    <mergeCell ref="C9:H9"/>
    <mergeCell ref="A10:B10"/>
    <mergeCell ref="A5:B5"/>
    <mergeCell ref="C8:H8"/>
    <mergeCell ref="A39:I39"/>
    <mergeCell ref="A9:B9"/>
    <mergeCell ref="A12:I12"/>
    <mergeCell ref="A8:B8"/>
    <mergeCell ref="C7:H7"/>
  </mergeCells>
  <conditionalFormatting sqref="I15:I37">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I41:I50">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dataValidations count="1">
    <dataValidation sqref="I15:I37 I41:I50"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138D90"/>
    <outlinePr summaryBelow="1" summaryRight="1"/>
    <pageSetUpPr fitToPage="1"/>
  </sheetPr>
  <dimension ref="A1:I52"/>
  <sheetViews>
    <sheetView showFormulas="0" showGridLines="0" showRowColHeaders="1" showZeros="1" rightToLeft="0" tabSelected="0" showOutlineSymbols="1" defaultGridColor="1"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0" customWidth="1" style="66" min="2" max="2"/>
    <col width="32" customWidth="1" style="66" min="3" max="3"/>
    <col width="20" customWidth="1" style="66" min="4" max="4"/>
    <col width="26" customWidth="1" style="66" min="5" max="5"/>
    <col width="30" customWidth="1" style="66" min="6" max="6"/>
    <col width="10" customWidth="1" style="66" min="7" max="7"/>
    <col width="14" customWidth="1" style="66" min="8" max="8"/>
    <col width="13" customWidth="1" style="66" min="9" max="9"/>
  </cols>
  <sheetData>
    <row r="1" ht="17.35" customHeight="1" s="67">
      <c r="A1" s="68" t="inlineStr">
        <is>
          <t>4 · T2 Grid terminal</t>
        </is>
      </c>
    </row>
    <row r="2" ht="15" customHeight="1" s="67">
      <c r="A2" s="69" t="inlineStr">
        <is>
          <t>The map: levels, symbol legend, overlays and refresh</t>
        </is>
      </c>
    </row>
    <row r="3" ht="15" customHeight="1" s="67">
      <c r="A3" s="70">
        <f>HYPERLINK("#'0 Index'!A1","↩ Index")</f>
        <v/>
      </c>
    </row>
    <row r="5" ht="15" customHeight="1" s="67">
      <c r="A5" s="105" t="inlineStr">
        <is>
          <t>Purpose</t>
        </is>
      </c>
      <c r="B5" s="73" t="n"/>
      <c r="C5" s="74" t="inlineStr">
        <is>
          <t>Shows the map at Universe, Galaxy or Sector level; auto-follows the active ship, 'view' overrides.</t>
        </is>
      </c>
      <c r="D5" s="75" t="n"/>
      <c r="E5" s="75" t="n"/>
      <c r="F5" s="75" t="n"/>
      <c r="G5" s="75" t="n"/>
      <c r="H5" s="73" t="n"/>
      <c r="I5" s="76" t="inlineStr">
        <is>
          <t>BP r18; Ans Q-17</t>
        </is>
      </c>
    </row>
    <row r="6" ht="15" customHeight="1" s="67">
      <c r="A6" s="105" t="inlineStr">
        <is>
          <t>Process / module</t>
        </is>
      </c>
      <c r="B6" s="73" t="n"/>
      <c r="C6" s="106" t="inlineStr">
        <is>
          <t>TBD — e.g. mos/terminals/grid.py</t>
        </is>
      </c>
      <c r="D6" s="75" t="n"/>
      <c r="E6" s="75" t="n"/>
      <c r="F6" s="75" t="n"/>
      <c r="G6" s="75" t="n"/>
      <c r="H6" s="73" t="n"/>
      <c r="I6" s="76" t="inlineStr">
        <is>
          <t>Template</t>
        </is>
      </c>
    </row>
    <row r="7" ht="15" customHeight="1" s="67">
      <c r="A7" s="105" t="inlineStr">
        <is>
          <t>Subscribes</t>
        </is>
      </c>
      <c r="B7" s="73" t="n"/>
      <c r="C7" s="74" t="inlineStr">
        <is>
          <t>turn.resolved, view.changed</t>
        </is>
      </c>
      <c r="D7" s="75" t="n"/>
      <c r="E7" s="75" t="n"/>
      <c r="F7" s="75" t="n"/>
      <c r="G7" s="75" t="n"/>
      <c r="H7" s="73" t="n"/>
      <c r="I7" s="76" t="inlineStr">
        <is>
          <t>2 Architecture</t>
        </is>
      </c>
    </row>
    <row r="8" ht="19.4" customHeight="1" s="67">
      <c r="A8" s="105" t="inlineStr">
        <is>
          <t>Publishes</t>
        </is>
      </c>
      <c r="B8" s="73" t="n"/>
      <c r="C8" s="74" t="inlineStr">
        <is>
          <t>nothing (display only)</t>
        </is>
      </c>
      <c r="D8" s="75" t="n"/>
      <c r="E8" s="75" t="n"/>
      <c r="F8" s="75" t="n"/>
      <c r="G8" s="75" t="n"/>
      <c r="H8" s="73" t="n"/>
      <c r="I8" s="76" t="inlineStr">
        <is>
          <t>Claude · Proposed</t>
        </is>
      </c>
    </row>
    <row r="9" ht="19.4" customHeight="1" s="67">
      <c r="A9" s="105" t="inlineStr">
        <is>
          <t>Render library</t>
        </is>
      </c>
      <c r="B9" s="73" t="n"/>
      <c r="C9" s="74" t="inlineStr">
        <is>
          <t>Rich — full-colour cells</t>
        </is>
      </c>
      <c r="D9" s="75" t="n"/>
      <c r="E9" s="75" t="n"/>
      <c r="F9" s="75" t="n"/>
      <c r="G9" s="75" t="n"/>
      <c r="H9" s="73" t="n"/>
      <c r="I9" s="76" t="inlineStr">
        <is>
          <t>Chat A8 · Proposed</t>
        </is>
      </c>
    </row>
    <row r="10" ht="15" customHeight="1" s="67">
      <c r="A10" s="105" t="inlineStr">
        <is>
          <t>Refresh</t>
        </is>
      </c>
      <c r="B10" s="73" t="n"/>
      <c r="C10" s="74" t="inlineStr">
        <is>
          <t>Full redraw once per turn.resolved and on view.changed</t>
        </is>
      </c>
      <c r="D10" s="75" t="n"/>
      <c r="E10" s="75" t="n"/>
      <c r="F10" s="75" t="n"/>
      <c r="G10" s="75" t="n"/>
      <c r="H10" s="73" t="n"/>
      <c r="I10" s="76" t="inlineStr">
        <is>
          <t>Ans Q-31</t>
        </is>
      </c>
    </row>
    <row r="11" ht="15" customHeight="1" s="67">
      <c r="A11" s="105" t="inlineStr">
        <is>
          <t>Fog of war</t>
        </is>
      </c>
      <c r="B11" s="73" t="n"/>
      <c r="C11" s="74" t="inlineStr">
        <is>
          <t>Config key [world] fog_of_war = on | off. On: sector contents hidden until visited or scanned; galaxy / universe layout always visible.</t>
        </is>
      </c>
      <c r="D11" s="75" t="n"/>
      <c r="E11" s="75" t="n"/>
      <c r="F11" s="75" t="n"/>
      <c r="G11" s="75" t="n"/>
      <c r="H11" s="73" t="n"/>
      <c r="I11" s="76" t="inlineStr">
        <is>
          <t>Ans Q-30</t>
        </is>
      </c>
    </row>
    <row r="13" ht="15" customHeight="1" s="67">
      <c r="A13" s="107" t="inlineStr">
        <is>
          <t>View levels</t>
        </is>
      </c>
    </row>
    <row r="14" ht="15" customHeight="1" s="67">
      <c r="A14" s="77" t="inlineStr">
        <is>
          <t>Default sizes are proposals; all three are config keys (Q-05).</t>
        </is>
      </c>
    </row>
    <row r="15" ht="15" customHeight="1" s="67">
      <c r="A15" s="108" t="inlineStr">
        <is>
          <t>ID</t>
        </is>
      </c>
      <c r="B15" s="108" t="inlineStr">
        <is>
          <t>Level</t>
        </is>
      </c>
      <c r="C15" s="108" t="inlineStr">
        <is>
          <t>Each cell shows</t>
        </is>
      </c>
      <c r="D15" s="108" t="inlineStr">
        <is>
          <t>Grid size (M × N)</t>
        </is>
      </c>
      <c r="E15" s="108" t="inlineStr">
        <is>
          <t>Highlights</t>
        </is>
      </c>
      <c r="F15" s="108" t="inlineStr">
        <is>
          <t>Cell format</t>
        </is>
      </c>
      <c r="G15" s="108" t="inlineStr">
        <is>
          <t>Open Q</t>
        </is>
      </c>
      <c r="H15" s="108" t="inlineStr">
        <is>
          <t>Origin</t>
        </is>
      </c>
      <c r="I15" s="108" t="inlineStr">
        <is>
          <t>Status</t>
        </is>
      </c>
    </row>
    <row r="16" ht="23.85" customHeight="1" s="67">
      <c r="A16" s="74" t="inlineStr">
        <is>
          <t>VW-01</t>
        </is>
      </c>
      <c r="B16" s="74" t="inlineStr">
        <is>
          <t>Universe</t>
        </is>
      </c>
      <c r="C16" s="74" t="inlineStr">
        <is>
          <t>A galaxy or Void.</t>
        </is>
      </c>
      <c r="D16" s="74" t="inlineStr">
        <is>
          <t>8 × 8 galaxies</t>
        </is>
      </c>
      <c r="E16" s="74" t="inlineStr">
        <is>
          <t>Galaxy containing the active ship</t>
        </is>
      </c>
      <c r="F16" s="74" t="inlineStr">
        <is>
          <t>2 chars + colour</t>
        </is>
      </c>
      <c r="G16" s="74" t="inlineStr">
        <is>
          <t>Q-05</t>
        </is>
      </c>
      <c r="H16" s="74" t="inlineStr">
        <is>
          <t>BP r35–36; Claude</t>
        </is>
      </c>
      <c r="I16" s="74" t="inlineStr">
        <is>
          <t>Proposed</t>
        </is>
      </c>
    </row>
    <row r="17" ht="35.05" customHeight="1" s="67">
      <c r="A17" s="74" t="inlineStr">
        <is>
          <t>VW-02</t>
        </is>
      </c>
      <c r="B17" s="74" t="inlineStr">
        <is>
          <t>Galaxy</t>
        </is>
      </c>
      <c r="C17" s="74" t="inlineStr">
        <is>
          <t>A sector or Void.</t>
        </is>
      </c>
      <c r="D17" s="74" t="inlineStr">
        <is>
          <t>16 × 16 sectors</t>
        </is>
      </c>
      <c r="E17" s="74" t="inlineStr">
        <is>
          <t>Sector containing the active ship; sectors with known hazards</t>
        </is>
      </c>
      <c r="F17" s="74" t="inlineStr">
        <is>
          <t>2 chars + colour</t>
        </is>
      </c>
      <c r="G17" s="74" t="inlineStr">
        <is>
          <t>Q-05</t>
        </is>
      </c>
      <c r="H17" s="74" t="inlineStr">
        <is>
          <t>BP r39–40; Claude</t>
        </is>
      </c>
      <c r="I17" s="74" t="inlineStr">
        <is>
          <t>Proposed</t>
        </is>
      </c>
    </row>
    <row r="18" ht="23.85" customHeight="1" s="67">
      <c r="A18" s="74" t="inlineStr">
        <is>
          <t>VW-03</t>
        </is>
      </c>
      <c r="B18" s="74" t="inlineStr">
        <is>
          <t>Sector</t>
        </is>
      </c>
      <c r="C18" s="74" t="inlineStr">
        <is>
          <t>A star / black hole / neutron star / planet, items, ships, or Void.</t>
        </is>
      </c>
      <c r="D18" s="74" t="inlineStr">
        <is>
          <t>24 × 24 cells</t>
        </is>
      </c>
      <c r="E18" s="74" t="inlineStr">
        <is>
          <t>Active ship; owned ships; enemy ships; hazard cells</t>
        </is>
      </c>
      <c r="F18" s="74" t="inlineStr">
        <is>
          <t>2 chars + colour</t>
        </is>
      </c>
      <c r="G18" s="74" t="inlineStr">
        <is>
          <t>Q-05, Q-06</t>
        </is>
      </c>
      <c r="H18" s="74" t="inlineStr">
        <is>
          <t>BP r43–44; Claude</t>
        </is>
      </c>
      <c r="I18" s="74" t="inlineStr">
        <is>
          <t>Proposed</t>
        </is>
      </c>
    </row>
    <row r="19" ht="15" customHeight="1" s="67">
      <c r="A19" s="74" t="n"/>
      <c r="B19" s="74" t="n"/>
      <c r="C19" s="74" t="n"/>
      <c r="D19" s="74" t="n"/>
      <c r="E19" s="74" t="n"/>
      <c r="F19" s="74" t="n"/>
      <c r="G19" s="74" t="n"/>
      <c r="H19" s="74" t="n"/>
      <c r="I19" s="74" t="n"/>
    </row>
    <row r="21" ht="15" customHeight="1" s="67">
      <c r="A21" s="107" t="inlineStr">
        <is>
          <t>Symbol legend</t>
        </is>
      </c>
    </row>
    <row r="22" ht="15" customHeight="1" s="67">
      <c r="A22" s="77" t="inlineStr">
        <is>
          <t>Glyphs are proposals. Star colours follow the real stellar sequence from temperature (7 Stellar).</t>
        </is>
      </c>
    </row>
    <row r="23" ht="15" customHeight="1" s="67">
      <c r="A23" s="108" t="inlineStr">
        <is>
          <t>ID</t>
        </is>
      </c>
      <c r="B23" s="108" t="inlineStr">
        <is>
          <t>Object</t>
        </is>
      </c>
      <c r="C23" s="108" t="inlineStr">
        <is>
          <t>Glyph</t>
        </is>
      </c>
      <c r="D23" s="108" t="inlineStr">
        <is>
          <t>Colour</t>
        </is>
      </c>
      <c r="E23" s="108" t="inlineStr">
        <is>
          <t>Colour rule</t>
        </is>
      </c>
      <c r="F23" s="108" t="inlineStr">
        <is>
          <t>Notes</t>
        </is>
      </c>
      <c r="G23" s="108" t="inlineStr">
        <is>
          <t>Open Q</t>
        </is>
      </c>
      <c r="H23" s="108" t="inlineStr">
        <is>
          <t>Origin</t>
        </is>
      </c>
      <c r="I23" s="108" t="inlineStr">
        <is>
          <t>Status</t>
        </is>
      </c>
    </row>
    <row r="24" ht="15" customHeight="1" s="67">
      <c r="A24" s="74" t="inlineStr">
        <is>
          <t>SYM-01</t>
        </is>
      </c>
      <c r="B24" s="74" t="inlineStr">
        <is>
          <t>Void</t>
        </is>
      </c>
      <c r="C24" s="74" t="inlineStr">
        <is>
          <t>·</t>
        </is>
      </c>
      <c r="D24" s="74" t="inlineStr">
        <is>
          <t>dark grey</t>
        </is>
      </c>
      <c r="E24" s="74" t="n"/>
      <c r="F24" s="74" t="n"/>
      <c r="G24" s="74" t="n"/>
      <c r="H24" s="74" t="inlineStr">
        <is>
          <t>Claude</t>
        </is>
      </c>
      <c r="I24" s="74" t="inlineStr">
        <is>
          <t>Proposed</t>
        </is>
      </c>
    </row>
    <row r="25" ht="15" customHeight="1" s="67">
      <c r="A25" s="74" t="inlineStr">
        <is>
          <t>SYM-02</t>
        </is>
      </c>
      <c r="B25" s="74" t="inlineStr">
        <is>
          <t>Galaxy (universe view)</t>
        </is>
      </c>
      <c r="C25" s="74" t="inlineStr">
        <is>
          <t>◎</t>
        </is>
      </c>
      <c r="D25" s="74" t="inlineStr">
        <is>
          <t>white</t>
        </is>
      </c>
      <c r="E25" s="74" t="n"/>
      <c r="F25" s="74" t="n"/>
      <c r="G25" s="74" t="n"/>
      <c r="H25" s="74" t="inlineStr">
        <is>
          <t>Claude</t>
        </is>
      </c>
      <c r="I25" s="74" t="inlineStr">
        <is>
          <t>Proposed</t>
        </is>
      </c>
    </row>
    <row r="26" ht="15" customHeight="1" s="67">
      <c r="A26" s="74" t="inlineStr">
        <is>
          <t>SYM-03</t>
        </is>
      </c>
      <c r="B26" s="74" t="inlineStr">
        <is>
          <t>Sector (galaxy view)</t>
        </is>
      </c>
      <c r="C26" s="74" t="inlineStr">
        <is>
          <t>▪</t>
        </is>
      </c>
      <c r="D26" s="74" t="inlineStr">
        <is>
          <t>grey; cyan if visited</t>
        </is>
      </c>
      <c r="E26" s="74" t="n"/>
      <c r="F26" s="74" t="n"/>
      <c r="G26" s="74" t="inlineStr">
        <is>
          <t>Q-30</t>
        </is>
      </c>
      <c r="H26" s="74" t="inlineStr">
        <is>
          <t>Claude</t>
        </is>
      </c>
      <c r="I26" s="74" t="inlineStr">
        <is>
          <t>Proposed</t>
        </is>
      </c>
    </row>
    <row r="27" ht="46.25" customHeight="1" s="67">
      <c r="A27" s="74" t="inlineStr">
        <is>
          <t>SYM-04</t>
        </is>
      </c>
      <c r="B27" s="74" t="inlineStr">
        <is>
          <t>Star</t>
        </is>
      </c>
      <c r="C27" s="74" t="inlineStr">
        <is>
          <t>★</t>
        </is>
      </c>
      <c r="D27" s="74" t="inlineStr">
        <is>
          <t>by temperature</t>
        </is>
      </c>
      <c r="E27" s="74" t="inlineStr">
        <is>
          <t>red &lt; 3 700 K · orange &lt; 5 200 · yellow &lt; 6 000 · yellow-white &lt; 7 500 · white &lt; 10 000 · blue-white &lt; 30 000 · blue above</t>
        </is>
      </c>
      <c r="F27" s="74" t="inlineStr">
        <is>
          <t>Thresholds are config keys</t>
        </is>
      </c>
      <c r="G27" s="74" t="inlineStr">
        <is>
          <t>Q-10</t>
        </is>
      </c>
      <c r="H27" s="74" t="inlineStr">
        <is>
          <t>BP r53–55, r111; Claude</t>
        </is>
      </c>
      <c r="I27" s="74" t="inlineStr">
        <is>
          <t>Proposed</t>
        </is>
      </c>
    </row>
    <row r="28" ht="23.85" customHeight="1" s="67">
      <c r="A28" s="74" t="inlineStr">
        <is>
          <t>SYM-05</t>
        </is>
      </c>
      <c r="B28" s="74" t="inlineStr">
        <is>
          <t>Neutron star</t>
        </is>
      </c>
      <c r="C28" s="74" t="inlineStr">
        <is>
          <t>✦</t>
        </is>
      </c>
      <c r="D28" s="74" t="inlineStr">
        <is>
          <t>magenta</t>
        </is>
      </c>
      <c r="E28" s="74" t="n"/>
      <c r="F28" s="74" t="inlineStr">
        <is>
          <t>Pulls across the sector, weaker than a black hole</t>
        </is>
      </c>
      <c r="G28" s="74" t="inlineStr">
        <is>
          <t>Q-09</t>
        </is>
      </c>
      <c r="H28" s="74" t="inlineStr">
        <is>
          <t>Ans Q-09</t>
        </is>
      </c>
      <c r="I28" s="74" t="inlineStr">
        <is>
          <t>Proposed</t>
        </is>
      </c>
    </row>
    <row r="29" ht="15" customHeight="1" s="67">
      <c r="A29" s="74" t="inlineStr">
        <is>
          <t>SYM-06</t>
        </is>
      </c>
      <c r="B29" s="74" t="inlineStr">
        <is>
          <t>Black hole</t>
        </is>
      </c>
      <c r="C29" s="74" t="inlineStr">
        <is>
          <t>●</t>
        </is>
      </c>
      <c r="D29" s="74" t="inlineStr">
        <is>
          <t>bright red</t>
        </is>
      </c>
      <c r="E29" s="74" t="n"/>
      <c r="F29" s="74" t="inlineStr">
        <is>
          <t>Whole-sector hazard</t>
        </is>
      </c>
      <c r="G29" s="74" t="n"/>
      <c r="H29" s="74" t="inlineStr">
        <is>
          <t>Claude</t>
        </is>
      </c>
      <c r="I29" s="74" t="inlineStr">
        <is>
          <t>Proposed</t>
        </is>
      </c>
    </row>
    <row r="30" ht="15" customHeight="1" s="67">
      <c r="A30" s="74" t="inlineStr">
        <is>
          <t>SYM-07</t>
        </is>
      </c>
      <c r="B30" s="74" t="inlineStr">
        <is>
          <t>Wormhole</t>
        </is>
      </c>
      <c r="C30" s="74" t="inlineStr">
        <is>
          <t>◉</t>
        </is>
      </c>
      <c r="D30" s="74" t="inlineStr">
        <is>
          <t>purple</t>
        </is>
      </c>
      <c r="E30" s="74" t="n"/>
      <c r="F30" s="74" t="inlineStr">
        <is>
          <t>A black hole with a fixed partner</t>
        </is>
      </c>
      <c r="G30" s="74" t="inlineStr">
        <is>
          <t>Q-11</t>
        </is>
      </c>
      <c r="H30" s="74" t="inlineStr">
        <is>
          <t>Ans Q-11</t>
        </is>
      </c>
      <c r="I30" s="74" t="inlineStr">
        <is>
          <t>Proposed</t>
        </is>
      </c>
    </row>
    <row r="31" ht="15" customHeight="1" s="67">
      <c r="A31" s="74" t="inlineStr">
        <is>
          <t>SYM-08</t>
        </is>
      </c>
      <c r="B31" s="74" t="inlineStr">
        <is>
          <t>Planet</t>
        </is>
      </c>
      <c r="C31" s="74" t="inlineStr">
        <is>
          <t>○</t>
        </is>
      </c>
      <c r="D31" s="74" t="inlineStr">
        <is>
          <t>green</t>
        </is>
      </c>
      <c r="E31" s="74" t="n"/>
      <c r="F31" s="74" t="n"/>
      <c r="G31" s="74" t="n"/>
      <c r="H31" s="74" t="inlineStr">
        <is>
          <t>Claude</t>
        </is>
      </c>
      <c r="I31" s="74" t="inlineStr">
        <is>
          <t>Proposed</t>
        </is>
      </c>
    </row>
    <row r="32" ht="23.85" customHeight="1" s="67">
      <c r="A32" s="74" t="inlineStr">
        <is>
          <t>SYM-09</t>
        </is>
      </c>
      <c r="B32" s="74" t="inlineStr">
        <is>
          <t>Item (normal / special)</t>
        </is>
      </c>
      <c r="C32" s="74" t="inlineStr">
        <is>
          <t>? / ✧</t>
        </is>
      </c>
      <c r="D32" s="74" t="inlineStr">
        <is>
          <t>yellow / bright yellow</t>
        </is>
      </c>
      <c r="E32" s="74" t="n"/>
      <c r="F32" s="74" t="inlineStr">
        <is>
          <t>Shown only after a scan when fog of war is on</t>
        </is>
      </c>
      <c r="G32" s="74" t="inlineStr">
        <is>
          <t>Q-07</t>
        </is>
      </c>
      <c r="H32" s="74" t="inlineStr">
        <is>
          <t>Ans Q-07</t>
        </is>
      </c>
      <c r="I32" s="74" t="inlineStr">
        <is>
          <t>Proposed</t>
        </is>
      </c>
    </row>
    <row r="33" ht="15" customHeight="1" s="67">
      <c r="A33" s="74" t="inlineStr">
        <is>
          <t>SYM-10</t>
        </is>
      </c>
      <c r="B33" s="74" t="inlineStr">
        <is>
          <t>Active ship (player)</t>
        </is>
      </c>
      <c r="C33" s="74" t="inlineStr">
        <is>
          <t>▲</t>
        </is>
      </c>
      <c r="D33" s="74" t="inlineStr">
        <is>
          <t>bright cyan</t>
        </is>
      </c>
      <c r="E33" s="74" t="n"/>
      <c r="F33" s="74" t="n"/>
      <c r="G33" s="74" t="n"/>
      <c r="H33" s="74" t="inlineStr">
        <is>
          <t>Claude</t>
        </is>
      </c>
      <c r="I33" s="74" t="inlineStr">
        <is>
          <t>Proposed</t>
        </is>
      </c>
    </row>
    <row r="34" ht="15" customHeight="1" s="67">
      <c r="A34" s="74" t="inlineStr">
        <is>
          <t>SYM-11</t>
        </is>
      </c>
      <c r="B34" s="74" t="inlineStr">
        <is>
          <t>Other owned ship</t>
        </is>
      </c>
      <c r="C34" s="74" t="inlineStr">
        <is>
          <t>△</t>
        </is>
      </c>
      <c r="D34" s="74" t="inlineStr">
        <is>
          <t>cyan</t>
        </is>
      </c>
      <c r="E34" s="74" t="n"/>
      <c r="F34" s="74" t="n"/>
      <c r="G34" s="74" t="inlineStr">
        <is>
          <t>Q-13</t>
        </is>
      </c>
      <c r="H34" s="74" t="inlineStr">
        <is>
          <t>Claude</t>
        </is>
      </c>
      <c r="I34" s="74" t="inlineStr">
        <is>
          <t>Proposed</t>
        </is>
      </c>
    </row>
    <row r="35" ht="23.85" customHeight="1" s="67">
      <c r="A35" s="74" t="inlineStr">
        <is>
          <t>SYM-12</t>
        </is>
      </c>
      <c r="B35" s="74" t="inlineStr">
        <is>
          <t>AI captain's ship</t>
        </is>
      </c>
      <c r="C35" s="74" t="inlineStr">
        <is>
          <t>▼</t>
        </is>
      </c>
      <c r="D35" s="74" t="inlineStr">
        <is>
          <t>orange; red when in battle with you</t>
        </is>
      </c>
      <c r="E35" s="74" t="n"/>
      <c r="F35" s="74" t="n"/>
      <c r="G35" s="74" t="n"/>
      <c r="H35" s="74" t="inlineStr">
        <is>
          <t>Claude</t>
        </is>
      </c>
      <c r="I35" s="74" t="inlineStr">
        <is>
          <t>Proposed</t>
        </is>
      </c>
    </row>
    <row r="36" ht="35.05" customHeight="1" s="67">
      <c r="A36" s="74" t="inlineStr">
        <is>
          <t>SYM-13</t>
        </is>
      </c>
      <c r="B36" s="74" t="inlineStr">
        <is>
          <t>Binary / triple star</t>
        </is>
      </c>
      <c r="C36" s="74" t="inlineStr">
        <is>
          <t>★★</t>
        </is>
      </c>
      <c r="D36" s="74" t="inlineStr">
        <is>
          <t>each by its own temperature</t>
        </is>
      </c>
      <c r="E36" s="74" t="n"/>
      <c r="F36" s="74" t="inlineStr">
        <is>
          <t>Stars are always in separate cells (Q-06); a system = stars in adjacent cells</t>
        </is>
      </c>
      <c r="G36" s="74" t="inlineStr">
        <is>
          <t>Q-06</t>
        </is>
      </c>
      <c r="H36" s="74" t="inlineStr">
        <is>
          <t>Ans Q-06</t>
        </is>
      </c>
      <c r="I36" s="74" t="inlineStr">
        <is>
          <t>Agreed</t>
        </is>
      </c>
    </row>
    <row r="37" ht="23.85" customHeight="1" s="67">
      <c r="A37" s="74" t="inlineStr">
        <is>
          <t>SYM-14</t>
        </is>
      </c>
      <c r="B37" s="74" t="inlineStr">
        <is>
          <t>Several things in one cell</t>
        </is>
      </c>
      <c r="C37" s="74" t="inlineStr">
        <is>
          <t>ship glyph wins</t>
        </is>
      </c>
      <c r="D37" s="74" t="n"/>
      <c r="E37" s="74" t="inlineStr">
        <is>
          <t>Priority: active ship &gt; other ship &gt; item &gt; terrain</t>
        </is>
      </c>
      <c r="F37" s="74" t="inlineStr">
        <is>
          <t>Only one star / planet / hole per cell</t>
        </is>
      </c>
      <c r="G37" s="74" t="inlineStr">
        <is>
          <t>Q-06</t>
        </is>
      </c>
      <c r="H37" s="74" t="inlineStr">
        <is>
          <t>Ans Q-06; Claude</t>
        </is>
      </c>
      <c r="I37" s="74" t="inlineStr">
        <is>
          <t>Proposed</t>
        </is>
      </c>
    </row>
    <row r="38" ht="15" customHeight="1" s="67">
      <c r="A38" s="74" t="n"/>
      <c r="B38" s="74" t="n"/>
      <c r="C38" s="74" t="n"/>
      <c r="D38" s="74" t="n"/>
      <c r="E38" s="74" t="n"/>
      <c r="F38" s="74" t="n"/>
      <c r="G38" s="74" t="n"/>
      <c r="H38" s="74" t="n"/>
      <c r="I38" s="74" t="n"/>
    </row>
    <row r="39" ht="15" customHeight="1" s="67">
      <c r="A39" s="74" t="n"/>
      <c r="B39" s="74" t="n"/>
      <c r="C39" s="74" t="n"/>
      <c r="D39" s="74" t="n"/>
      <c r="E39" s="74" t="n"/>
      <c r="F39" s="74" t="n"/>
      <c r="G39" s="74" t="n"/>
      <c r="H39" s="74" t="n"/>
      <c r="I39" s="74" t="n"/>
    </row>
    <row r="41" ht="15" customHeight="1" s="67">
      <c r="A41" s="107" t="inlineStr">
        <is>
          <t>Overlays &amp; behaviour</t>
        </is>
      </c>
    </row>
    <row r="42" ht="15" customHeight="1" s="67">
      <c r="A42" s="108" t="inlineStr">
        <is>
          <t>ID</t>
        </is>
      </c>
      <c r="B42" s="108" t="inlineStr">
        <is>
          <t>Aspect</t>
        </is>
      </c>
      <c r="C42" s="108" t="inlineStr">
        <is>
          <t>Current thinking</t>
        </is>
      </c>
      <c r="D42" s="108" t="inlineStr">
        <is>
          <t>Example</t>
        </is>
      </c>
      <c r="E42" s="108" t="inlineStr">
        <is>
          <t>Edge cases</t>
        </is>
      </c>
      <c r="F42" s="108" t="inlineStr">
        <is>
          <t>Notes</t>
        </is>
      </c>
      <c r="G42" s="108" t="inlineStr">
        <is>
          <t>Open Q</t>
        </is>
      </c>
      <c r="H42" s="108" t="inlineStr">
        <is>
          <t>Origin</t>
        </is>
      </c>
      <c r="I42" s="108" t="inlineStr">
        <is>
          <t>Status</t>
        </is>
      </c>
    </row>
    <row r="43" ht="35.05" customHeight="1" s="67">
      <c r="A43" s="74" t="inlineStr">
        <is>
          <t>GRD-01</t>
        </is>
      </c>
      <c r="B43" s="74" t="inlineStr">
        <is>
          <t>Coordinates</t>
        </is>
      </c>
      <c r="C43" s="74" t="inlineStr">
        <is>
          <t>Zero-based x y, column labels along the top, row labels down the side; commands use the same numbers.</t>
        </is>
      </c>
      <c r="D43" s="74" t="inlineStr">
        <is>
          <t>move 12 7</t>
        </is>
      </c>
      <c r="E43" s="74" t="n"/>
      <c r="F43" s="74" t="n"/>
      <c r="G43" s="74" t="inlineStr">
        <is>
          <t>Q-05</t>
        </is>
      </c>
      <c r="H43" s="74" t="inlineStr">
        <is>
          <t>Claude</t>
        </is>
      </c>
      <c r="I43" s="74" t="inlineStr">
        <is>
          <t>Proposed</t>
        </is>
      </c>
    </row>
    <row r="44" ht="35.05" customHeight="1" s="67">
      <c r="A44" s="74" t="inlineStr">
        <is>
          <t>GRD-02</t>
        </is>
      </c>
      <c r="B44" s="74" t="inlineStr">
        <is>
          <t>Level switching</t>
        </is>
      </c>
      <c r="C44" s="74" t="inlineStr">
        <is>
          <t>Auto-follows the active ship (sector view); 'view' overrides until 'view follow'.</t>
        </is>
      </c>
      <c r="D44" s="74" t="n"/>
      <c r="E44" s="74" t="n"/>
      <c r="F44" s="74" t="n"/>
      <c r="G44" s="74" t="inlineStr">
        <is>
          <t>Q-17</t>
        </is>
      </c>
      <c r="H44" s="74" t="inlineStr">
        <is>
          <t>Ans Q-17</t>
        </is>
      </c>
      <c r="I44" s="74" t="inlineStr">
        <is>
          <t>Agreed</t>
        </is>
      </c>
    </row>
    <row r="45" ht="35.05" customHeight="1" s="67">
      <c r="A45" s="74" t="inlineStr">
        <is>
          <t>GRD-03</t>
        </is>
      </c>
      <c r="B45" s="74" t="inlineStr">
        <is>
          <t>Hazard overlay</t>
        </is>
      </c>
      <c r="C45" s="74" t="inlineStr">
        <is>
          <t>Cells within pull range are tinted; the countdown (turns until pulled in) is shown next to the ship.</t>
        </is>
      </c>
      <c r="D45" s="74" t="n"/>
      <c r="E45" s="74" t="n"/>
      <c r="F45" s="74" t="n"/>
      <c r="G45" s="74" t="inlineStr">
        <is>
          <t>Q-02</t>
        </is>
      </c>
      <c r="H45" s="74" t="inlineStr">
        <is>
          <t>Claude</t>
        </is>
      </c>
      <c r="I45" s="74" t="inlineStr">
        <is>
          <t>Proposed</t>
        </is>
      </c>
    </row>
    <row r="46" ht="15" customHeight="1" s="67">
      <c r="A46" s="74" t="inlineStr">
        <is>
          <t>GRD-04</t>
        </is>
      </c>
      <c r="B46" s="74" t="inlineStr">
        <is>
          <t>Fog of war</t>
        </is>
      </c>
      <c r="C46" s="74" t="inlineStr">
        <is>
          <t>Config on / off (see header).</t>
        </is>
      </c>
      <c r="D46" s="74" t="n"/>
      <c r="E46" s="74" t="n"/>
      <c r="F46" s="74" t="n"/>
      <c r="G46" s="74" t="inlineStr">
        <is>
          <t>Q-30</t>
        </is>
      </c>
      <c r="H46" s="74" t="inlineStr">
        <is>
          <t>Ans Q-30</t>
        </is>
      </c>
      <c r="I46" s="74" t="inlineStr">
        <is>
          <t>Agreed</t>
        </is>
      </c>
    </row>
    <row r="47" ht="35.05" customHeight="1" s="67">
      <c r="A47" s="74" t="inlineStr">
        <is>
          <t>GRD-05</t>
        </is>
      </c>
      <c r="B47" s="74" t="inlineStr">
        <is>
          <t>Viewport</t>
        </is>
      </c>
      <c r="C47" s="74" t="inlineStr">
        <is>
          <t>Grid is sized to fit the window at the default sizes; larger configs scroll centred on the ship.</t>
        </is>
      </c>
      <c r="D47" s="74" t="n"/>
      <c r="E47" s="74" t="n"/>
      <c r="F47" s="74" t="n"/>
      <c r="G47" s="74" t="inlineStr">
        <is>
          <t>Q-05</t>
        </is>
      </c>
      <c r="H47" s="74" t="inlineStr">
        <is>
          <t>Claude</t>
        </is>
      </c>
      <c r="I47" s="74" t="inlineStr">
        <is>
          <t>Proposed</t>
        </is>
      </c>
    </row>
    <row r="48" ht="15" customHeight="1" s="67">
      <c r="A48" s="74" t="inlineStr">
        <is>
          <t>GRD-06</t>
        </is>
      </c>
      <c r="B48" s="74" t="inlineStr">
        <is>
          <t>Refresh rule</t>
        </is>
      </c>
      <c r="C48" s="74" t="inlineStr">
        <is>
          <t>Full redraw once per turn.resolved.</t>
        </is>
      </c>
      <c r="D48" s="74" t="n"/>
      <c r="E48" s="74" t="n"/>
      <c r="F48" s="74" t="n"/>
      <c r="G48" s="74" t="inlineStr">
        <is>
          <t>Q-31</t>
        </is>
      </c>
      <c r="H48" s="74" t="inlineStr">
        <is>
          <t>Ans Q-31</t>
        </is>
      </c>
      <c r="I48" s="74" t="inlineStr">
        <is>
          <t>Agreed</t>
        </is>
      </c>
    </row>
    <row r="49" ht="23.85" customHeight="1" s="67">
      <c r="A49" s="74" t="inlineStr">
        <is>
          <t>GRD-07</t>
        </is>
      </c>
      <c r="B49" s="74" t="inlineStr">
        <is>
          <t>Header line</t>
        </is>
      </c>
      <c r="C49" s="74" t="inlineStr">
        <is>
          <t>Level · galaxy / sector coordinates · turn number · fog on/off.</t>
        </is>
      </c>
      <c r="D49" s="74" t="n"/>
      <c r="E49" s="74" t="n"/>
      <c r="F49" s="74" t="n"/>
      <c r="G49" s="74" t="n"/>
      <c r="H49" s="74" t="inlineStr">
        <is>
          <t>Claude</t>
        </is>
      </c>
      <c r="I49" s="74" t="inlineStr">
        <is>
          <t>Proposed</t>
        </is>
      </c>
    </row>
    <row r="50" ht="23.85" customHeight="1" s="67">
      <c r="A50" s="74" t="inlineStr">
        <is>
          <t>GRD-08</t>
        </is>
      </c>
      <c r="B50" s="74" t="inlineStr">
        <is>
          <t>Target marker</t>
        </is>
      </c>
      <c r="C50" s="74" t="inlineStr">
        <is>
          <t>Highlights the ship or planet named in the last fire / trade order.</t>
        </is>
      </c>
      <c r="D50" s="74" t="n"/>
      <c r="E50" s="74" t="n"/>
      <c r="F50" s="74" t="n"/>
      <c r="G50" s="74" t="n"/>
      <c r="H50" s="74" t="inlineStr">
        <is>
          <t>Claude</t>
        </is>
      </c>
      <c r="I50" s="74" t="inlineStr">
        <is>
          <t>Proposed</t>
        </is>
      </c>
    </row>
    <row r="51" ht="15" customHeight="1" s="67">
      <c r="A51" s="74" t="n"/>
      <c r="B51" s="74" t="n"/>
      <c r="C51" s="74" t="n"/>
      <c r="D51" s="74" t="n"/>
      <c r="E51" s="74" t="n"/>
      <c r="F51" s="74" t="n"/>
      <c r="G51" s="74" t="n"/>
      <c r="H51" s="74" t="n"/>
      <c r="I51" s="74" t="n"/>
    </row>
    <row r="52" ht="15" customHeight="1" s="67">
      <c r="A52" s="74" t="n"/>
      <c r="B52" s="74" t="n"/>
      <c r="C52" s="74" t="n"/>
      <c r="D52" s="74" t="n"/>
      <c r="E52" s="74" t="n"/>
      <c r="F52" s="74" t="n"/>
      <c r="G52" s="74" t="n"/>
      <c r="H52" s="74" t="n"/>
      <c r="I52" s="74" t="n"/>
    </row>
  </sheetData>
  <autoFilter ref="A15:I19"/>
  <mergeCells count="19">
    <mergeCell ref="C10:H10"/>
    <mergeCell ref="A41:I41"/>
    <mergeCell ref="A11:B11"/>
    <mergeCell ref="C9:H9"/>
    <mergeCell ref="A6:B6"/>
    <mergeCell ref="A21:I21"/>
    <mergeCell ref="C11:H11"/>
    <mergeCell ref="A7:B7"/>
    <mergeCell ref="A14:I14"/>
    <mergeCell ref="C8:H8"/>
    <mergeCell ref="A22:I22"/>
    <mergeCell ref="C7:H7"/>
    <mergeCell ref="A13:I13"/>
    <mergeCell ref="A5:B5"/>
    <mergeCell ref="A8:B8"/>
    <mergeCell ref="C6:H6"/>
    <mergeCell ref="C5:H5"/>
    <mergeCell ref="A10:B10"/>
    <mergeCell ref="A9:B9"/>
  </mergeCells>
  <conditionalFormatting sqref="I16:I19">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I24:I39">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I43:I52">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dataValidations count="1">
    <dataValidation sqref="I16:I19 I24:I39 I43:I52"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tabColor rgb="FF138D90"/>
    <outlinePr summaryBelow="1" summaryRight="1"/>
    <pageSetUpPr fitToPage="1"/>
  </sheetPr>
  <dimension ref="A1:I43"/>
  <sheetViews>
    <sheetView showFormulas="0" showGridLines="0" showRowColHeaders="1" showZeros="1" rightToLeft="0" tabSelected="0" showOutlineSymbols="1" defaultGridColor="1"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2" customWidth="1" style="66" min="2" max="2"/>
    <col width="28" customWidth="1" style="66" min="3" max="3"/>
    <col width="36" customWidth="1" style="66" min="4" max="4"/>
    <col width="28" customWidth="1" style="66" min="5" max="5"/>
    <col width="16" customWidth="1" style="66" min="6" max="6"/>
    <col width="10" customWidth="1" style="66" min="7" max="7"/>
    <col width="14" customWidth="1" style="66" min="8" max="8"/>
    <col width="13" customWidth="1" style="66" min="9" max="9"/>
  </cols>
  <sheetData>
    <row r="1" ht="17.35" customHeight="1" s="67">
      <c r="A1" s="68" t="inlineStr">
        <is>
          <t>5 · T3 Output terminal</t>
        </is>
      </c>
    </row>
    <row r="2" ht="15" customHeight="1" s="67">
      <c r="A2" s="69" t="inlineStr">
        <is>
          <t>Results, reports and the event log</t>
        </is>
      </c>
    </row>
    <row r="3" ht="15" customHeight="1" s="67">
      <c r="A3" s="70">
        <f>HYPERLINK("#'0 Index'!A1","↩ Index")</f>
        <v/>
      </c>
    </row>
    <row r="5" ht="15" customHeight="1" s="67">
      <c r="A5" s="105" t="inlineStr">
        <is>
          <t>Purpose</t>
        </is>
      </c>
      <c r="B5" s="73" t="n"/>
      <c r="C5" s="74" t="inlineStr">
        <is>
          <t>Shows results, reports and information — the event log.</t>
        </is>
      </c>
      <c r="D5" s="75" t="n"/>
      <c r="E5" s="75" t="n"/>
      <c r="F5" s="75" t="n"/>
      <c r="G5" s="75" t="n"/>
      <c r="H5" s="73" t="n"/>
      <c r="I5" s="76" t="inlineStr">
        <is>
          <t>BP r19</t>
        </is>
      </c>
    </row>
    <row r="6" ht="15" customHeight="1" s="67">
      <c r="A6" s="105" t="inlineStr">
        <is>
          <t>Process / module</t>
        </is>
      </c>
      <c r="B6" s="73" t="n"/>
      <c r="C6" s="106" t="inlineStr">
        <is>
          <t>TBD — e.g. mos/terminals/output.py</t>
        </is>
      </c>
      <c r="D6" s="75" t="n"/>
      <c r="E6" s="75" t="n"/>
      <c r="F6" s="75" t="n"/>
      <c r="G6" s="75" t="n"/>
      <c r="H6" s="73" t="n"/>
      <c r="I6" s="76" t="inlineStr">
        <is>
          <t>Template</t>
        </is>
      </c>
    </row>
    <row r="7" ht="15" customHeight="1" s="67">
      <c r="A7" s="105" t="inlineStr">
        <is>
          <t>Subscribes</t>
        </is>
      </c>
      <c r="B7" s="73" t="n"/>
      <c r="C7" s="74" t="inlineStr">
        <is>
          <t>turn.resolved, event.log, order.rejected</t>
        </is>
      </c>
      <c r="D7" s="75" t="n"/>
      <c r="E7" s="75" t="n"/>
      <c r="F7" s="75" t="n"/>
      <c r="G7" s="75" t="n"/>
      <c r="H7" s="73" t="n"/>
      <c r="I7" s="76" t="inlineStr">
        <is>
          <t>2 Architecture</t>
        </is>
      </c>
    </row>
    <row r="8" ht="19.4" customHeight="1" s="67">
      <c r="A8" s="105" t="inlineStr">
        <is>
          <t>Publishes</t>
        </is>
      </c>
      <c r="B8" s="73" t="n"/>
      <c r="C8" s="74" t="inlineStr">
        <is>
          <t>nothing (display only)</t>
        </is>
      </c>
      <c r="D8" s="75" t="n"/>
      <c r="E8" s="75" t="n"/>
      <c r="F8" s="75" t="n"/>
      <c r="G8" s="75" t="n"/>
      <c r="H8" s="73" t="n"/>
      <c r="I8" s="76" t="inlineStr">
        <is>
          <t>Claude · Proposed</t>
        </is>
      </c>
    </row>
    <row r="9" ht="15" customHeight="1" s="67">
      <c r="A9" s="105" t="inlineStr">
        <is>
          <t>Render library</t>
        </is>
      </c>
      <c r="B9" s="73" t="n"/>
      <c r="C9" s="74" t="inlineStr">
        <is>
          <t>Rich — colour per severity</t>
        </is>
      </c>
      <c r="D9" s="75" t="n"/>
      <c r="E9" s="75" t="n"/>
      <c r="F9" s="75" t="n"/>
      <c r="G9" s="75" t="n"/>
      <c r="H9" s="73" t="n"/>
      <c r="I9" s="76" t="inlineStr">
        <is>
          <t>Chat A8</t>
        </is>
      </c>
    </row>
    <row r="10" ht="19.4" customHeight="1" s="67">
      <c r="A10" s="105" t="inlineStr">
        <is>
          <t>Scrollback</t>
        </is>
      </c>
      <c r="B10" s="73" t="n"/>
      <c r="C10" s="74" t="inlineStr">
        <is>
          <t>Last 500 lines kept; grouped by phase within a turn</t>
        </is>
      </c>
      <c r="D10" s="75" t="n"/>
      <c r="E10" s="75" t="n"/>
      <c r="F10" s="75" t="n"/>
      <c r="G10" s="75" t="n"/>
      <c r="H10" s="73" t="n"/>
      <c r="I10" s="76" t="inlineStr">
        <is>
          <t>Claude · Proposed</t>
        </is>
      </c>
    </row>
    <row r="12" ht="15" customHeight="1" s="67">
      <c r="A12" s="107" t="inlineStr">
        <is>
          <t>Message types</t>
        </is>
      </c>
    </row>
    <row r="13" ht="15" customHeight="1" s="67">
      <c r="A13" s="77" t="inlineStr">
        <is>
          <t>'Example line' is where you write what it should actually look like.</t>
        </is>
      </c>
    </row>
    <row r="14" ht="23.85" customHeight="1" s="67">
      <c r="A14" s="108" t="inlineStr">
        <is>
          <t>ID</t>
        </is>
      </c>
      <c r="B14" s="108" t="inlineStr">
        <is>
          <t>Message type</t>
        </is>
      </c>
      <c r="C14" s="108" t="inlineStr">
        <is>
          <t>Triggered by</t>
        </is>
      </c>
      <c r="D14" s="108" t="inlineStr">
        <is>
          <t>Content (fields)</t>
        </is>
      </c>
      <c r="E14" s="108" t="inlineStr">
        <is>
          <t>Example line</t>
        </is>
      </c>
      <c r="F14" s="108" t="inlineStr">
        <is>
          <t>Severity / colour</t>
        </is>
      </c>
      <c r="G14" s="108" t="inlineStr">
        <is>
          <t>Open Q</t>
        </is>
      </c>
      <c r="H14" s="108" t="inlineStr">
        <is>
          <t>Origin</t>
        </is>
      </c>
      <c r="I14" s="108" t="inlineStr">
        <is>
          <t>Status</t>
        </is>
      </c>
    </row>
    <row r="15" ht="15" customHeight="1" s="67">
      <c r="A15" s="74" t="inlineStr">
        <is>
          <t>OUT-01</t>
        </is>
      </c>
      <c r="B15" s="74" t="inlineStr">
        <is>
          <t>Turn summary</t>
        </is>
      </c>
      <c r="C15" s="74" t="inlineStr">
        <is>
          <t>Turn resolved</t>
        </is>
      </c>
      <c r="D15" s="74" t="inlineStr">
        <is>
          <t>turn no, orders executed, notable events</t>
        </is>
      </c>
      <c r="E15" s="106" t="inlineStr">
        <is>
          <t>TBD</t>
        </is>
      </c>
      <c r="F15" s="74" t="inlineStr">
        <is>
          <t>Info</t>
        </is>
      </c>
      <c r="G15" s="74" t="n"/>
      <c r="H15" s="74" t="inlineStr">
        <is>
          <t>Implied r4</t>
        </is>
      </c>
      <c r="I15" s="74" t="inlineStr">
        <is>
          <t>Draft</t>
        </is>
      </c>
    </row>
    <row r="16" ht="15" customHeight="1" s="67">
      <c r="A16" s="74" t="inlineStr">
        <is>
          <t>OUT-02</t>
        </is>
      </c>
      <c r="B16" s="74" t="inlineStr">
        <is>
          <t>Movement result</t>
        </is>
      </c>
      <c r="C16" s="74" t="inlineStr">
        <is>
          <t>Move / warp resolved</t>
        </is>
      </c>
      <c r="D16" s="74" t="inlineStr">
        <is>
          <t>ship, from, to, speed / factor, pull netted</t>
        </is>
      </c>
      <c r="E16" s="106" t="inlineStr">
        <is>
          <t>TBD</t>
        </is>
      </c>
      <c r="F16" s="74" t="inlineStr">
        <is>
          <t>Info</t>
        </is>
      </c>
      <c r="G16" s="74" t="inlineStr">
        <is>
          <t>Q-02</t>
        </is>
      </c>
      <c r="H16" s="74" t="inlineStr">
        <is>
          <t>Ans Q-02</t>
        </is>
      </c>
      <c r="I16" s="74" t="inlineStr">
        <is>
          <t>Draft</t>
        </is>
      </c>
    </row>
    <row r="17" ht="23.85" customHeight="1" s="67">
      <c r="A17" s="74" t="inlineStr">
        <is>
          <t>OUT-03</t>
        </is>
      </c>
      <c r="B17" s="74" t="inlineStr">
        <is>
          <t>Hazard warning</t>
        </is>
      </c>
      <c r="C17" s="74" t="inlineStr">
        <is>
          <t>Ship within pull range</t>
        </is>
      </c>
      <c r="D17" s="74" t="inlineStr">
        <is>
          <t>object, pull, turns until pulled in, shield drain this turn</t>
        </is>
      </c>
      <c r="E17" s="106" t="inlineStr">
        <is>
          <t>TBD</t>
        </is>
      </c>
      <c r="F17" s="74" t="inlineStr">
        <is>
          <t>Warning (yellow)</t>
        </is>
      </c>
      <c r="G17" s="74" t="inlineStr">
        <is>
          <t>Q-02</t>
        </is>
      </c>
      <c r="H17" s="74" t="inlineStr">
        <is>
          <t>Ans Q-02</t>
        </is>
      </c>
      <c r="I17" s="74" t="inlineStr">
        <is>
          <t>Draft</t>
        </is>
      </c>
    </row>
    <row r="18" ht="23.85" customHeight="1" s="67">
      <c r="A18" s="74" t="inlineStr">
        <is>
          <t>OUT-04</t>
        </is>
      </c>
      <c r="B18" s="74" t="inlineStr">
        <is>
          <t>Combat report</t>
        </is>
      </c>
      <c r="C18" s="74" t="inlineStr">
        <is>
          <t>Battle exchange resolved</t>
        </is>
      </c>
      <c r="D18" s="74" t="inlineStr">
        <is>
          <t>attacker, defender, weapon, hit / miss, damage, shields left</t>
        </is>
      </c>
      <c r="E18" s="106" t="inlineStr">
        <is>
          <t>TBD</t>
        </is>
      </c>
      <c r="F18" s="74" t="inlineStr">
        <is>
          <t>Alert (red)</t>
        </is>
      </c>
      <c r="G18" s="74" t="inlineStr">
        <is>
          <t>Q-12</t>
        </is>
      </c>
      <c r="H18" s="74" t="inlineStr">
        <is>
          <t>Claude</t>
        </is>
      </c>
      <c r="I18" s="74" t="inlineStr">
        <is>
          <t>Proposed</t>
        </is>
      </c>
    </row>
    <row r="19" ht="23.85" customHeight="1" s="67">
      <c r="A19" s="74" t="inlineStr">
        <is>
          <t>OUT-05</t>
        </is>
      </c>
      <c r="B19" s="74" t="inlineStr">
        <is>
          <t>Peace / escape</t>
        </is>
      </c>
      <c r="C19" s="74" t="inlineStr">
        <is>
          <t>Peace offered / accepted / rejected; escape attempted</t>
        </is>
      </c>
      <c r="D19" s="74" t="inlineStr">
        <is>
          <t>parties, result, X% transferred</t>
        </is>
      </c>
      <c r="E19" s="106" t="inlineStr">
        <is>
          <t>TBD</t>
        </is>
      </c>
      <c r="F19" s="74" t="inlineStr">
        <is>
          <t>Alert</t>
        </is>
      </c>
      <c r="G19" s="74" t="inlineStr">
        <is>
          <t>Q-12</t>
        </is>
      </c>
      <c r="H19" s="74" t="inlineStr">
        <is>
          <t>Implied r107–108</t>
        </is>
      </c>
      <c r="I19" s="74" t="inlineStr">
        <is>
          <t>Draft</t>
        </is>
      </c>
    </row>
    <row r="20" ht="23.85" customHeight="1" s="67">
      <c r="A20" s="74" t="inlineStr">
        <is>
          <t>OUT-06</t>
        </is>
      </c>
      <c r="B20" s="74" t="inlineStr">
        <is>
          <t>Loot acquired</t>
        </is>
      </c>
      <c r="C20" s="74" t="inlineStr">
        <is>
          <t>Opponent destroyed, or peace settlement</t>
        </is>
      </c>
      <c r="D20" s="74" t="inlineStr">
        <is>
          <t>items, gold, silver, stat gains</t>
        </is>
      </c>
      <c r="E20" s="106" t="inlineStr">
        <is>
          <t>TBD</t>
        </is>
      </c>
      <c r="F20" s="74" t="inlineStr">
        <is>
          <t>Info (green)</t>
        </is>
      </c>
      <c r="G20" s="74" t="inlineStr">
        <is>
          <t>Q-12</t>
        </is>
      </c>
      <c r="H20" s="74" t="inlineStr">
        <is>
          <t>Implied r106</t>
        </is>
      </c>
      <c r="I20" s="74" t="inlineStr">
        <is>
          <t>Draft</t>
        </is>
      </c>
    </row>
    <row r="21" ht="23.85" customHeight="1" s="67">
      <c r="A21" s="74" t="inlineStr">
        <is>
          <t>OUT-07</t>
        </is>
      </c>
      <c r="B21" s="74" t="inlineStr">
        <is>
          <t>Trade result</t>
        </is>
      </c>
      <c r="C21" s="74" t="inlineStr">
        <is>
          <t>Trade / buy / sell accepted or rejected</t>
        </is>
      </c>
      <c r="D21" s="74" t="inlineStr">
        <is>
          <t>counterparty, given, received</t>
        </is>
      </c>
      <c r="E21" s="106" t="inlineStr">
        <is>
          <t>TBD</t>
        </is>
      </c>
      <c r="F21" s="74" t="inlineStr">
        <is>
          <t>Info</t>
        </is>
      </c>
      <c r="G21" s="74" t="inlineStr">
        <is>
          <t>Q-14</t>
        </is>
      </c>
      <c r="H21" s="74" t="inlineStr">
        <is>
          <t>Ans Q-14</t>
        </is>
      </c>
      <c r="I21" s="74" t="inlineStr">
        <is>
          <t>Draft</t>
        </is>
      </c>
    </row>
    <row r="22" ht="15" customHeight="1" s="67">
      <c r="A22" s="74" t="inlineStr">
        <is>
          <t>OUT-08</t>
        </is>
      </c>
      <c r="B22" s="74" t="inlineStr">
        <is>
          <t>Upgrade applied</t>
        </is>
      </c>
      <c r="C22" s="74" t="inlineStr">
        <is>
          <t>Element used on a component</t>
        </is>
      </c>
      <c r="D22" s="74" t="inlineStr">
        <is>
          <t>component, before → after</t>
        </is>
      </c>
      <c r="E22" s="106" t="inlineStr">
        <is>
          <t>TBD</t>
        </is>
      </c>
      <c r="F22" s="74" t="inlineStr">
        <is>
          <t>Info</t>
        </is>
      </c>
      <c r="G22" s="74" t="inlineStr">
        <is>
          <t>Q-14</t>
        </is>
      </c>
      <c r="H22" s="74" t="inlineStr">
        <is>
          <t>Implied r91</t>
        </is>
      </c>
      <c r="I22" s="74" t="inlineStr">
        <is>
          <t>Draft</t>
        </is>
      </c>
    </row>
    <row r="23" ht="15" customHeight="1" s="67">
      <c r="A23" s="74" t="inlineStr">
        <is>
          <t>OUT-09</t>
        </is>
      </c>
      <c r="B23" s="74" t="inlineStr">
        <is>
          <t>Fear / respect change</t>
        </is>
      </c>
      <c r="C23" s="74" t="inlineStr">
        <is>
          <t>Any control event</t>
        </is>
      </c>
      <c r="D23" s="74" t="inlineStr">
        <is>
          <t>event, Δ fear, Δ respect, new levels</t>
        </is>
      </c>
      <c r="E23" s="106" t="inlineStr">
        <is>
          <t>TBD</t>
        </is>
      </c>
      <c r="F23" s="74" t="inlineStr">
        <is>
          <t>Info</t>
        </is>
      </c>
      <c r="G23" s="74" t="n"/>
      <c r="H23" s="74" t="inlineStr">
        <is>
          <t>Implied r94–103</t>
        </is>
      </c>
      <c r="I23" s="74" t="inlineStr">
        <is>
          <t>Draft</t>
        </is>
      </c>
    </row>
    <row r="24" ht="15" customHeight="1" s="67">
      <c r="A24" s="74" t="inlineStr">
        <is>
          <t>OUT-10</t>
        </is>
      </c>
      <c r="B24" s="74" t="inlineStr">
        <is>
          <t>Scan result / item found</t>
        </is>
      </c>
      <c r="C24" s="74" t="inlineStr">
        <is>
          <t>scan; pickup</t>
        </is>
      </c>
      <c r="D24" s="74" t="inlineStr">
        <is>
          <t>items in cell, hazards nearby</t>
        </is>
      </c>
      <c r="E24" s="106" t="inlineStr">
        <is>
          <t>TBD</t>
        </is>
      </c>
      <c r="F24" s="74" t="inlineStr">
        <is>
          <t>Info</t>
        </is>
      </c>
      <c r="G24" s="74" t="inlineStr">
        <is>
          <t>Q-07</t>
        </is>
      </c>
      <c r="H24" s="74" t="inlineStr">
        <is>
          <t>Ans Q-07</t>
        </is>
      </c>
      <c r="I24" s="74" t="inlineStr">
        <is>
          <t>Draft</t>
        </is>
      </c>
    </row>
    <row r="25" ht="23.85" customHeight="1" s="67">
      <c r="A25" s="74" t="inlineStr">
        <is>
          <t>OUT-11</t>
        </is>
      </c>
      <c r="B25" s="74" t="inlineStr">
        <is>
          <t>Ship lost / fleet change</t>
        </is>
      </c>
      <c r="C25" s="74" t="inlineStr">
        <is>
          <t>Ship destroyed, acquired or switched</t>
        </is>
      </c>
      <c r="D25" s="74" t="inlineStr">
        <is>
          <t>ship, cause</t>
        </is>
      </c>
      <c r="E25" s="106" t="inlineStr">
        <is>
          <t>TBD</t>
        </is>
      </c>
      <c r="F25" s="74" t="inlineStr">
        <is>
          <t>Alert</t>
        </is>
      </c>
      <c r="G25" s="74" t="inlineStr">
        <is>
          <t>Q-13</t>
        </is>
      </c>
      <c r="H25" s="74" t="inlineStr">
        <is>
          <t>Implied r13</t>
        </is>
      </c>
      <c r="I25" s="74" t="inlineStr">
        <is>
          <t>Draft</t>
        </is>
      </c>
    </row>
    <row r="26" ht="23.85" customHeight="1" s="67">
      <c r="A26" s="74" t="inlineStr">
        <is>
          <t>OUT-12</t>
        </is>
      </c>
      <c r="B26" s="74" t="inlineStr">
        <is>
          <t>Endgame eligibility</t>
        </is>
      </c>
      <c r="C26" s="74" t="inlineStr">
        <is>
          <t>Thresholds reached</t>
        </is>
      </c>
      <c r="D26" s="74" t="inlineStr">
        <is>
          <t>which thresholds; where the guarded sector is</t>
        </is>
      </c>
      <c r="E26" s="106" t="inlineStr">
        <is>
          <t>TBD</t>
        </is>
      </c>
      <c r="F26" s="74" t="inlineStr">
        <is>
          <t>Highlight</t>
        </is>
      </c>
      <c r="G26" s="74" t="inlineStr">
        <is>
          <t>Q-15</t>
        </is>
      </c>
      <c r="H26" s="74" t="inlineStr">
        <is>
          <t>Ans Q-15</t>
        </is>
      </c>
      <c r="I26" s="74" t="inlineStr">
        <is>
          <t>Draft</t>
        </is>
      </c>
    </row>
    <row r="27" ht="23.85" customHeight="1" s="67">
      <c r="A27" s="74" t="inlineStr">
        <is>
          <t>OUT-13</t>
        </is>
      </c>
      <c r="B27" s="74" t="inlineStr">
        <is>
          <t>Invalid command / rejected order</t>
        </is>
      </c>
      <c r="C27" s="74" t="inlineStr">
        <is>
          <t>Bad input, impossible order</t>
        </is>
      </c>
      <c r="D27" s="74" t="inlineStr">
        <is>
          <t>message, reason (echo of T1)</t>
        </is>
      </c>
      <c r="E27" s="106" t="inlineStr">
        <is>
          <t>TBD</t>
        </is>
      </c>
      <c r="F27" s="74" t="inlineStr">
        <is>
          <t>Error</t>
        </is>
      </c>
      <c r="G27" s="74" t="inlineStr">
        <is>
          <t>Q-34</t>
        </is>
      </c>
      <c r="H27" s="74" t="inlineStr">
        <is>
          <t>Ans Q-34</t>
        </is>
      </c>
      <c r="I27" s="74" t="inlineStr">
        <is>
          <t>Agreed</t>
        </is>
      </c>
    </row>
    <row r="28" ht="23.85" customHeight="1" s="67">
      <c r="A28" s="74" t="inlineStr">
        <is>
          <t>OUT-14</t>
        </is>
      </c>
      <c r="B28" s="74" t="inlineStr">
        <is>
          <t>System</t>
        </is>
      </c>
      <c r="C28" s="74" t="inlineStr">
        <is>
          <t>Bus connected, saved, AI thinking, shutdown</t>
        </is>
      </c>
      <c r="D28" s="74" t="inlineStr">
        <is>
          <t>message</t>
        </is>
      </c>
      <c r="E28" s="106" t="inlineStr">
        <is>
          <t>TBD</t>
        </is>
      </c>
      <c r="F28" s="74" t="inlineStr">
        <is>
          <t>Muted</t>
        </is>
      </c>
      <c r="G28" s="74" t="inlineStr">
        <is>
          <t>Q-32</t>
        </is>
      </c>
      <c r="H28" s="74" t="inlineStr">
        <is>
          <t>Ans Q-32</t>
        </is>
      </c>
      <c r="I28" s="74" t="inlineStr">
        <is>
          <t>Draft</t>
        </is>
      </c>
    </row>
    <row r="29" ht="23.85" customHeight="1" s="67">
      <c r="A29" s="74" t="inlineStr">
        <is>
          <t>OUT-15</t>
        </is>
      </c>
      <c r="B29" s="74" t="inlineStr">
        <is>
          <t>Mastery ceremony</t>
        </is>
      </c>
      <c r="C29" s="74" t="inlineStr">
        <is>
          <t>Ultimate item obtained</t>
        </is>
      </c>
      <c r="D29" s="74" t="inlineStr">
        <is>
          <t>fireworks animation, big ASCII-art title, stats maxed, planets open</t>
        </is>
      </c>
      <c r="E29" s="106" t="inlineStr">
        <is>
          <t>TBD</t>
        </is>
      </c>
      <c r="F29" s="74" t="inlineStr">
        <is>
          <t>Highlight (full colour)</t>
        </is>
      </c>
      <c r="G29" s="74" t="inlineStr">
        <is>
          <t>Q-37</t>
        </is>
      </c>
      <c r="H29" s="74" t="inlineStr">
        <is>
          <t>Ans Q-37</t>
        </is>
      </c>
      <c r="I29" s="74" t="inlineStr">
        <is>
          <t>Agreed</t>
        </is>
      </c>
    </row>
    <row r="30" ht="23.85" customHeight="1" s="67">
      <c r="A30" s="74" t="inlineStr">
        <is>
          <t>OUT-16</t>
        </is>
      </c>
      <c r="B30" s="74" t="inlineStr">
        <is>
          <t>Game over</t>
        </is>
      </c>
      <c r="C30" s="74" t="inlineStr">
        <is>
          <t>Player's ship destroyed</t>
        </is>
      </c>
      <c r="D30" s="74" t="inlineStr">
        <is>
          <t>cause, turn reached, run summary, 'new' to start again</t>
        </is>
      </c>
      <c r="E30" s="106" t="inlineStr">
        <is>
          <t>TBD</t>
        </is>
      </c>
      <c r="F30" s="74" t="inlineStr">
        <is>
          <t>Alert</t>
        </is>
      </c>
      <c r="G30" s="74" t="inlineStr">
        <is>
          <t>Q-29</t>
        </is>
      </c>
      <c r="H30" s="74" t="inlineStr">
        <is>
          <t>Ans Q-29</t>
        </is>
      </c>
      <c r="I30" s="74" t="inlineStr">
        <is>
          <t>Agreed</t>
        </is>
      </c>
    </row>
    <row r="31" ht="23.85" customHeight="1" s="67">
      <c r="A31" s="74" t="inlineStr">
        <is>
          <t>OUT-17</t>
        </is>
      </c>
      <c r="B31" s="74" t="inlineStr">
        <is>
          <t>Supplies warning</t>
        </is>
      </c>
      <c r="C31" s="74" t="inlineStr">
        <is>
          <t>Food or water ≤ warn_turns, or at 0</t>
        </is>
      </c>
      <c r="D31" s="74" t="inlineStr">
        <is>
          <t>turns left, turns until mutiny</t>
        </is>
      </c>
      <c r="E31" s="106" t="inlineStr">
        <is>
          <t>TBD</t>
        </is>
      </c>
      <c r="F31" s="74" t="inlineStr">
        <is>
          <t>Warning</t>
        </is>
      </c>
      <c r="G31" s="74" t="inlineStr">
        <is>
          <t>Q-19</t>
        </is>
      </c>
      <c r="H31" s="74" t="inlineStr">
        <is>
          <t>Ans Q-19; Claude</t>
        </is>
      </c>
      <c r="I31" s="74" t="inlineStr">
        <is>
          <t>Proposed</t>
        </is>
      </c>
    </row>
    <row r="32" ht="23.85" customHeight="1" s="67">
      <c r="A32" s="74" t="inlineStr">
        <is>
          <t>OUT-18</t>
        </is>
      </c>
      <c r="B32" s="74" t="inlineStr">
        <is>
          <t>Mutiny</t>
        </is>
      </c>
      <c r="C32" s="74" t="inlineStr">
        <is>
          <t>Food or water at 0 for mutiny_turns_at_zero turns</t>
        </is>
      </c>
      <c r="D32" s="74" t="inlineStr">
        <is>
          <t>ship lost; moved to &lt;ship&gt; or demoted to a Kestrel; supplies given; fear change</t>
        </is>
      </c>
      <c r="E32" s="106" t="inlineStr">
        <is>
          <t>TBD</t>
        </is>
      </c>
      <c r="F32" s="74" t="inlineStr">
        <is>
          <t>Alert</t>
        </is>
      </c>
      <c r="G32" s="74" t="inlineStr">
        <is>
          <t>Q-19</t>
        </is>
      </c>
      <c r="H32" s="74" t="inlineStr">
        <is>
          <t>Chat A11, A19</t>
        </is>
      </c>
      <c r="I32" s="74" t="inlineStr">
        <is>
          <t>Agreed</t>
        </is>
      </c>
    </row>
    <row r="33" ht="15" customHeight="1" s="67">
      <c r="A33" s="74" t="n"/>
      <c r="B33" s="74" t="n"/>
      <c r="C33" s="74" t="n"/>
      <c r="D33" s="74" t="n"/>
      <c r="E33" s="74" t="n"/>
      <c r="F33" s="74" t="n"/>
      <c r="G33" s="74" t="n"/>
      <c r="H33" s="74" t="n"/>
      <c r="I33" s="74" t="n"/>
    </row>
    <row r="34" ht="15" customHeight="1" s="67">
      <c r="A34" s="74" t="n"/>
      <c r="B34" s="74" t="n"/>
      <c r="C34" s="74" t="n"/>
      <c r="D34" s="74" t="n"/>
      <c r="E34" s="74" t="n"/>
      <c r="F34" s="74" t="n"/>
      <c r="G34" s="74" t="n"/>
      <c r="H34" s="74" t="n"/>
      <c r="I34" s="74" t="n"/>
    </row>
    <row r="36" ht="15" customHeight="1" s="67">
      <c r="A36" s="107" t="inlineStr">
        <is>
          <t>Behaviour</t>
        </is>
      </c>
    </row>
    <row r="37" ht="15" customHeight="1" s="67">
      <c r="A37" s="108" t="inlineStr">
        <is>
          <t>ID</t>
        </is>
      </c>
      <c r="B37" s="108" t="inlineStr">
        <is>
          <t>Aspect</t>
        </is>
      </c>
      <c r="C37" s="108" t="inlineStr">
        <is>
          <t>Current thinking</t>
        </is>
      </c>
      <c r="D37" s="108" t="inlineStr">
        <is>
          <t>Example</t>
        </is>
      </c>
      <c r="E37" s="108" t="inlineStr">
        <is>
          <t>Edge cases</t>
        </is>
      </c>
      <c r="F37" s="108" t="inlineStr">
        <is>
          <t>Notes</t>
        </is>
      </c>
      <c r="G37" s="108" t="inlineStr">
        <is>
          <t>Open Q</t>
        </is>
      </c>
      <c r="H37" s="108" t="inlineStr">
        <is>
          <t>Origin</t>
        </is>
      </c>
      <c r="I37" s="108" t="inlineStr">
        <is>
          <t>Status</t>
        </is>
      </c>
    </row>
    <row r="38" ht="35.05" customHeight="1" s="67">
      <c r="A38" s="74" t="inlineStr">
        <is>
          <t>OB-01</t>
        </is>
      </c>
      <c r="B38" s="74" t="inlineStr">
        <is>
          <t>Verbosity</t>
        </is>
      </c>
      <c r="C38" s="74" t="inlineStr">
        <is>
          <t>Normal by default; 'verbose' shows AI captains' events elsewhere in the galaxy.</t>
        </is>
      </c>
      <c r="D38" s="74" t="n"/>
      <c r="E38" s="74" t="n"/>
      <c r="F38" s="74" t="n"/>
      <c r="G38" s="74" t="n"/>
      <c r="H38" s="74" t="inlineStr">
        <is>
          <t>Claude</t>
        </is>
      </c>
      <c r="I38" s="74" t="inlineStr">
        <is>
          <t>Proposed</t>
        </is>
      </c>
    </row>
    <row r="39" ht="23.85" customHeight="1" s="67">
      <c r="A39" s="74" t="inlineStr">
        <is>
          <t>OB-02</t>
        </is>
      </c>
      <c r="B39" s="74" t="inlineStr">
        <is>
          <t>History</t>
        </is>
      </c>
      <c r="C39" s="74" t="inlineStr">
        <is>
          <t>500 lines; grouped by phase within a turn.</t>
        </is>
      </c>
      <c r="D39" s="74" t="n"/>
      <c r="E39" s="74" t="n"/>
      <c r="F39" s="74" t="n"/>
      <c r="G39" s="74" t="inlineStr">
        <is>
          <t>Q-31</t>
        </is>
      </c>
      <c r="H39" s="74" t="inlineStr">
        <is>
          <t>Claude</t>
        </is>
      </c>
      <c r="I39" s="74" t="inlineStr">
        <is>
          <t>Proposed</t>
        </is>
      </c>
    </row>
    <row r="40" ht="23.85" customHeight="1" s="67">
      <c r="A40" s="74" t="inlineStr">
        <is>
          <t>OB-03</t>
        </is>
      </c>
      <c r="B40" s="74" t="inlineStr">
        <is>
          <t>Styling</t>
        </is>
      </c>
      <c r="C40" s="74" t="inlineStr">
        <is>
          <t>Colour per severity; same palette as T2 / T4.</t>
        </is>
      </c>
      <c r="D40" s="74" t="n"/>
      <c r="E40" s="74" t="n"/>
      <c r="F40" s="74" t="n"/>
      <c r="G40" s="74" t="n"/>
      <c r="H40" s="74" t="inlineStr">
        <is>
          <t>Chat A8</t>
        </is>
      </c>
      <c r="I40" s="74" t="inlineStr">
        <is>
          <t>Agreed</t>
        </is>
      </c>
    </row>
    <row r="41" ht="35.05" customHeight="1" s="67">
      <c r="A41" s="74" t="inlineStr">
        <is>
          <t>OB-04</t>
        </is>
      </c>
      <c r="B41" s="74" t="inlineStr">
        <is>
          <t>Order within a turn</t>
        </is>
      </c>
      <c r="C41" s="74" t="inlineStr">
        <is>
          <t>Grouped by phase (movement → hazards → combat → trade → upkeep → reputation).</t>
        </is>
      </c>
      <c r="D41" s="74" t="n"/>
      <c r="E41" s="74" t="n"/>
      <c r="F41" s="74" t="n"/>
      <c r="G41" s="74" t="inlineStr">
        <is>
          <t>Q-01</t>
        </is>
      </c>
      <c r="H41" s="74" t="inlineStr">
        <is>
          <t>Ans Q-01</t>
        </is>
      </c>
      <c r="I41" s="74" t="inlineStr">
        <is>
          <t>Proposed</t>
        </is>
      </c>
    </row>
    <row r="42" ht="15" customHeight="1" s="67">
      <c r="A42" s="74" t="n"/>
      <c r="B42" s="74" t="n"/>
      <c r="C42" s="74" t="n"/>
      <c r="D42" s="74" t="n"/>
      <c r="E42" s="74" t="n"/>
      <c r="F42" s="74" t="n"/>
      <c r="G42" s="74" t="n"/>
      <c r="H42" s="74" t="n"/>
      <c r="I42" s="74" t="n"/>
    </row>
    <row r="43" ht="15" customHeight="1" s="67">
      <c r="A43" s="74" t="n"/>
      <c r="B43" s="74" t="n"/>
      <c r="C43" s="74" t="n"/>
      <c r="D43" s="74" t="n"/>
      <c r="E43" s="74" t="n"/>
      <c r="F43" s="74" t="n"/>
      <c r="G43" s="74" t="n"/>
      <c r="H43" s="74" t="n"/>
      <c r="I43" s="74" t="n"/>
    </row>
  </sheetData>
  <autoFilter ref="A14:I34"/>
  <mergeCells count="15">
    <mergeCell ref="A6:B6"/>
    <mergeCell ref="C6:H6"/>
    <mergeCell ref="C10:H10"/>
    <mergeCell ref="A7:B7"/>
    <mergeCell ref="C5:H5"/>
    <mergeCell ref="A13:I13"/>
    <mergeCell ref="C9:H9"/>
    <mergeCell ref="A10:B10"/>
    <mergeCell ref="A5:B5"/>
    <mergeCell ref="A36:I36"/>
    <mergeCell ref="C8:H8"/>
    <mergeCell ref="A9:B9"/>
    <mergeCell ref="A12:I12"/>
    <mergeCell ref="A8:B8"/>
    <mergeCell ref="C7:H7"/>
  </mergeCells>
  <conditionalFormatting sqref="I15:I34">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I38:I43">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dataValidations count="1">
    <dataValidation sqref="I15:I34 I38:I43"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tabColor rgb="FF138D90"/>
    <outlinePr summaryBelow="1" summaryRight="1"/>
    <pageSetUpPr fitToPage="1"/>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2" customWidth="1" style="66" min="2" max="2"/>
    <col width="40" customWidth="1" style="66" min="3" max="3"/>
    <col width="22" customWidth="1" style="66" min="4" max="5"/>
    <col width="20" customWidth="1" style="66" min="6" max="6"/>
    <col width="10" customWidth="1" style="66" min="7" max="7"/>
    <col width="14" customWidth="1" style="66" min="8" max="8"/>
    <col width="13" customWidth="1" style="66" min="9" max="9"/>
  </cols>
  <sheetData>
    <row r="1" ht="17.35" customHeight="1" s="67">
      <c r="A1" s="68" t="inlineStr">
        <is>
          <t>5b · T4 Status terminal</t>
        </is>
      </c>
    </row>
    <row r="2" ht="15" customHeight="1" s="67">
      <c r="A2" s="69" t="inlineStr">
        <is>
          <t>The permanent status panel agreed in Q-25</t>
        </is>
      </c>
    </row>
    <row r="3" ht="15" customHeight="1" s="67">
      <c r="A3" s="70">
        <f>HYPERLINK("#'0 Index'!A1","↩ Index")</f>
        <v/>
      </c>
    </row>
    <row r="5" ht="15" customHeight="1" s="67">
      <c r="A5" s="105" t="inlineStr">
        <is>
          <t>Purpose</t>
        </is>
      </c>
      <c r="B5" s="73" t="n"/>
      <c r="C5" s="74" t="inlineStr">
        <is>
          <t>Always-visible state so T3 can stay a pure log: captain, active ship, fleet, cargo, supplies.</t>
        </is>
      </c>
      <c r="D5" s="75" t="n"/>
      <c r="E5" s="75" t="n"/>
      <c r="F5" s="75" t="n"/>
      <c r="G5" s="75" t="n"/>
      <c r="H5" s="73" t="n"/>
      <c r="I5" s="76" t="inlineStr">
        <is>
          <t>Ans Q-25</t>
        </is>
      </c>
    </row>
    <row r="6" ht="15" customHeight="1" s="67">
      <c r="A6" s="105" t="inlineStr">
        <is>
          <t>Process / module</t>
        </is>
      </c>
      <c r="B6" s="73" t="n"/>
      <c r="C6" s="106" t="inlineStr">
        <is>
          <t>TBD — e.g. mos/terminals/status.py</t>
        </is>
      </c>
      <c r="D6" s="75" t="n"/>
      <c r="E6" s="75" t="n"/>
      <c r="F6" s="75" t="n"/>
      <c r="G6" s="75" t="n"/>
      <c r="H6" s="73" t="n"/>
      <c r="I6" s="76" t="inlineStr">
        <is>
          <t>Template</t>
        </is>
      </c>
    </row>
    <row r="7" ht="15" customHeight="1" s="67">
      <c r="A7" s="105" t="inlineStr">
        <is>
          <t>Subscribes</t>
        </is>
      </c>
      <c r="B7" s="73" t="n"/>
      <c r="C7" s="74" t="inlineStr">
        <is>
          <t>turn.resolved</t>
        </is>
      </c>
      <c r="D7" s="75" t="n"/>
      <c r="E7" s="75" t="n"/>
      <c r="F7" s="75" t="n"/>
      <c r="G7" s="75" t="n"/>
      <c r="H7" s="73" t="n"/>
      <c r="I7" s="76" t="inlineStr">
        <is>
          <t>2 Architecture</t>
        </is>
      </c>
    </row>
    <row r="8" ht="19.4" customHeight="1" s="67">
      <c r="A8" s="105" t="inlineStr">
        <is>
          <t>Publishes</t>
        </is>
      </c>
      <c r="B8" s="73" t="n"/>
      <c r="C8" s="74" t="inlineStr">
        <is>
          <t>nothing (display only)</t>
        </is>
      </c>
      <c r="D8" s="75" t="n"/>
      <c r="E8" s="75" t="n"/>
      <c r="F8" s="75" t="n"/>
      <c r="G8" s="75" t="n"/>
      <c r="H8" s="73" t="n"/>
      <c r="I8" s="76" t="inlineStr">
        <is>
          <t>Claude · Proposed</t>
        </is>
      </c>
    </row>
    <row r="9" ht="15" customHeight="1" s="67">
      <c r="A9" s="105" t="inlineStr">
        <is>
          <t>Render library</t>
        </is>
      </c>
      <c r="B9" s="73" t="n"/>
      <c r="C9" s="74" t="inlineStr">
        <is>
          <t>Rich panels / tables, colour-coded bars</t>
        </is>
      </c>
      <c r="D9" s="75" t="n"/>
      <c r="E9" s="75" t="n"/>
      <c r="F9" s="75" t="n"/>
      <c r="G9" s="75" t="n"/>
      <c r="H9" s="73" t="n"/>
      <c r="I9" s="76" t="inlineStr">
        <is>
          <t>Chat A8</t>
        </is>
      </c>
    </row>
    <row r="11" ht="15" customHeight="1" s="67">
      <c r="A11" s="107" t="inlineStr">
        <is>
          <t>Panels</t>
        </is>
      </c>
    </row>
    <row r="12" ht="15" customHeight="1" s="67">
      <c r="A12" s="108" t="inlineStr">
        <is>
          <t>ID</t>
        </is>
      </c>
      <c r="B12" s="108" t="inlineStr">
        <is>
          <t>Panel</t>
        </is>
      </c>
      <c r="C12" s="108" t="inlineStr">
        <is>
          <t>Shows</t>
        </is>
      </c>
      <c r="D12" s="108" t="inlineStr">
        <is>
          <t>Updates when</t>
        </is>
      </c>
      <c r="E12" s="108" t="inlineStr">
        <is>
          <t>Position / size</t>
        </is>
      </c>
      <c r="F12" s="108" t="inlineStr">
        <is>
          <t>Notes</t>
        </is>
      </c>
      <c r="G12" s="108" t="inlineStr">
        <is>
          <t>Open Q</t>
        </is>
      </c>
      <c r="H12" s="108" t="inlineStr">
        <is>
          <t>Origin</t>
        </is>
      </c>
      <c r="I12" s="108" t="inlineStr">
        <is>
          <t>Status</t>
        </is>
      </c>
    </row>
    <row r="13" ht="23.85" customHeight="1" s="67">
      <c r="A13" s="74" t="inlineStr">
        <is>
          <t>PNL-01</t>
        </is>
      </c>
      <c r="B13" s="74" t="inlineStr">
        <is>
          <t>Captain</t>
        </is>
      </c>
      <c r="C13" s="74" t="inlineStr">
        <is>
          <t>name, gold, silver, fear (0–100 bar), respect (0–100 bar), eligibility for the ultimate item</t>
        </is>
      </c>
      <c r="D13" s="74" t="inlineStr">
        <is>
          <t>turn.resolved</t>
        </is>
      </c>
      <c r="E13" s="74" t="inlineStr">
        <is>
          <t>top</t>
        </is>
      </c>
      <c r="F13" s="74" t="n"/>
      <c r="G13" s="74" t="inlineStr">
        <is>
          <t>Q-15</t>
        </is>
      </c>
      <c r="H13" s="74" t="inlineStr">
        <is>
          <t>Ans Q-15, Q-25</t>
        </is>
      </c>
      <c r="I13" s="74" t="inlineStr">
        <is>
          <t>Agreed</t>
        </is>
      </c>
    </row>
    <row r="14" ht="35.05" customHeight="1" s="67">
      <c r="A14" s="74" t="inlineStr">
        <is>
          <t>PNL-02</t>
        </is>
      </c>
      <c r="B14" s="74" t="inlineStr">
        <is>
          <t>Active ship</t>
        </is>
      </c>
      <c r="C14" s="74" t="inlineStr">
        <is>
          <t>name, class, torpedoes (count), phasers (0–10), shields current / max, engine (0–10), warp core (0–10), position</t>
        </is>
      </c>
      <c r="D14" s="74" t="inlineStr">
        <is>
          <t>turn.resolved</t>
        </is>
      </c>
      <c r="E14" s="74" t="inlineStr">
        <is>
          <t>middle</t>
        </is>
      </c>
      <c r="F14" s="74" t="n"/>
      <c r="G14" s="74" t="inlineStr">
        <is>
          <t>Q-12</t>
        </is>
      </c>
      <c r="H14" s="74" t="inlineStr">
        <is>
          <t>Ans Q-25; Claude</t>
        </is>
      </c>
      <c r="I14" s="74" t="inlineStr">
        <is>
          <t>Proposed</t>
        </is>
      </c>
    </row>
    <row r="15" ht="23.85" customHeight="1" s="67">
      <c r="A15" s="74" t="inlineStr">
        <is>
          <t>PNL-03</t>
        </is>
      </c>
      <c r="B15" s="74" t="inlineStr">
        <is>
          <t>Supplies</t>
        </is>
      </c>
      <c r="C15" s="74" t="inlineStr">
        <is>
          <t>food, water (turns remaining), colour-coded warning, mutiny countdown when at 0</t>
        </is>
      </c>
      <c r="D15" s="74" t="inlineStr">
        <is>
          <t>turn.resolved</t>
        </is>
      </c>
      <c r="E15" s="74" t="inlineStr">
        <is>
          <t>middle</t>
        </is>
      </c>
      <c r="F15" s="74" t="n"/>
      <c r="G15" s="74" t="inlineStr">
        <is>
          <t>Q-19</t>
        </is>
      </c>
      <c r="H15" s="74" t="inlineStr">
        <is>
          <t>Ans Q-19; Chat A11</t>
        </is>
      </c>
      <c r="I15" s="74" t="inlineStr">
        <is>
          <t>Proposed</t>
        </is>
      </c>
    </row>
    <row r="16" ht="15" customHeight="1" s="67">
      <c r="A16" s="74" t="inlineStr">
        <is>
          <t>PNL-04</t>
        </is>
      </c>
      <c r="B16" s="74" t="inlineStr">
        <is>
          <t>Cargo</t>
        </is>
      </c>
      <c r="C16" s="74" t="inlineStr">
        <is>
          <t>elements &amp; compounds held, special items</t>
        </is>
      </c>
      <c r="D16" s="74" t="inlineStr">
        <is>
          <t>turn.resolved</t>
        </is>
      </c>
      <c r="E16" s="74" t="inlineStr">
        <is>
          <t>lower</t>
        </is>
      </c>
      <c r="F16" s="74" t="n"/>
      <c r="G16" s="74" t="n"/>
      <c r="H16" s="74" t="inlineStr">
        <is>
          <t>Implied r83</t>
        </is>
      </c>
      <c r="I16" s="74" t="inlineStr">
        <is>
          <t>Proposed</t>
        </is>
      </c>
    </row>
    <row r="17" ht="23.85" customHeight="1" s="67">
      <c r="A17" s="74" t="inlineStr">
        <is>
          <t>PNL-05</t>
        </is>
      </c>
      <c r="B17" s="74" t="inlineStr">
        <is>
          <t>Fleet</t>
        </is>
      </c>
      <c r="C17" s="74" t="inlineStr">
        <is>
          <t>every owned ship: name, location, shields, orders queued</t>
        </is>
      </c>
      <c r="D17" s="74" t="inlineStr">
        <is>
          <t>turn.resolved</t>
        </is>
      </c>
      <c r="E17" s="74" t="inlineStr">
        <is>
          <t>bottom</t>
        </is>
      </c>
      <c r="F17" s="74" t="n"/>
      <c r="G17" s="74" t="inlineStr">
        <is>
          <t>Q-13</t>
        </is>
      </c>
      <c r="H17" s="74" t="inlineStr">
        <is>
          <t>Ans Q-13</t>
        </is>
      </c>
      <c r="I17" s="74" t="inlineStr">
        <is>
          <t>Proposed</t>
        </is>
      </c>
    </row>
    <row r="18" ht="15" customHeight="1" s="67">
      <c r="A18" s="74" t="inlineStr">
        <is>
          <t>PNL-06</t>
        </is>
      </c>
      <c r="B18" s="74" t="inlineStr">
        <is>
          <t>Hazard / battle</t>
        </is>
      </c>
      <c r="C18" s="74" t="inlineStr">
        <is>
          <t>current pull, countdown, enemies in range</t>
        </is>
      </c>
      <c r="D18" s="74" t="inlineStr">
        <is>
          <t>turn.resolved</t>
        </is>
      </c>
      <c r="E18" s="74" t="inlineStr">
        <is>
          <t>side</t>
        </is>
      </c>
      <c r="F18" s="74" t="inlineStr">
        <is>
          <t>Only when relevant</t>
        </is>
      </c>
      <c r="G18" s="74" t="inlineStr">
        <is>
          <t>Q-02, Q-12</t>
        </is>
      </c>
      <c r="H18" s="74" t="inlineStr">
        <is>
          <t>Claude</t>
        </is>
      </c>
      <c r="I18" s="74" t="inlineStr">
        <is>
          <t>Proposed</t>
        </is>
      </c>
    </row>
    <row r="19" ht="15" customHeight="1" s="67">
      <c r="A19" s="109" t="inlineStr">
        <is>
          <t>PNL-07</t>
        </is>
      </c>
      <c r="B19" s="109" t="inlineStr">
        <is>
          <t>Orders</t>
        </is>
      </c>
      <c r="C19" s="109" t="inlineStr">
        <is>
          <t>the active ship's queued orders in order (command and arguments), including a persisting move with its remaining distance; Fleet (PNL-05) keeps the per-ship count</t>
        </is>
      </c>
      <c r="D19" s="109" t="inlineStr">
        <is>
          <t>turn.resolved, and on every accepted or cancelled order</t>
        </is>
      </c>
      <c r="E19" s="109" t="inlineStr">
        <is>
          <t>middle</t>
        </is>
      </c>
      <c r="F19" s="109" t="inlineStr">
        <is>
          <t>T1's 'orders' lists the same</t>
        </is>
      </c>
      <c r="G19" s="109" t="inlineStr">
        <is>
          <t>Q-01</t>
        </is>
      </c>
      <c r="H19" s="109" t="inlineStr">
        <is>
          <t>Chat A21</t>
        </is>
      </c>
      <c r="I19" s="109" t="inlineStr">
        <is>
          <t>Agreed</t>
        </is>
      </c>
    </row>
    <row r="20" ht="15" customHeight="1" s="67">
      <c r="A20" s="74" t="n"/>
      <c r="B20" s="74" t="n"/>
      <c r="C20" s="74" t="n"/>
      <c r="D20" s="74" t="n"/>
      <c r="E20" s="74" t="n"/>
      <c r="F20" s="74" t="n"/>
      <c r="G20" s="74" t="n"/>
      <c r="H20" s="74" t="n"/>
      <c r="I20" s="74" t="n"/>
    </row>
  </sheetData>
  <autoFilter ref="A12:I20"/>
  <mergeCells count="11">
    <mergeCell ref="C6:H6"/>
    <mergeCell ref="A11:I11"/>
    <mergeCell ref="A7:B7"/>
    <mergeCell ref="C5:H5"/>
    <mergeCell ref="C9:H9"/>
    <mergeCell ref="A5:B5"/>
    <mergeCell ref="C8:H8"/>
    <mergeCell ref="A9:B9"/>
    <mergeCell ref="A6:B6"/>
    <mergeCell ref="A8:B8"/>
    <mergeCell ref="C7:H7"/>
  </mergeCells>
  <conditionalFormatting sqref="I13:I20">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dataValidations count="1">
    <dataValidation sqref="I13:I20"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tabColor rgb="FF7030A0"/>
    <outlinePr summaryBelow="1" summaryRight="1"/>
    <pageSetUpPr fitToPage="1"/>
  </sheetPr>
  <dimension ref="A1:H22"/>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16" customWidth="1" style="66" min="2" max="2"/>
    <col width="22" customWidth="1" style="66" min="3" max="3"/>
    <col width="48" customWidth="1" style="66" min="4" max="4"/>
    <col width="18" customWidth="1" style="66" min="5" max="5"/>
    <col width="10" customWidth="1" style="66" min="6" max="6"/>
    <col width="14" customWidth="1" style="66" min="7" max="7"/>
    <col width="13" customWidth="1" style="66" min="8" max="8"/>
  </cols>
  <sheetData>
    <row r="1" ht="17.35" customHeight="1" s="67">
      <c r="A1" s="68" t="inlineStr">
        <is>
          <t>6 · World grids</t>
        </is>
      </c>
    </row>
    <row r="2" ht="15" customHeight="1" s="67">
      <c r="A2" s="69" t="inlineStr">
        <is>
          <t>Universe → Galaxy → Sector, sparse storage, seeded generation</t>
        </is>
      </c>
    </row>
    <row r="3" ht="15" customHeight="1" s="67">
      <c r="A3" s="70">
        <f>HYPERLINK("#'0 Index'!A1","↩ Index")</f>
        <v/>
      </c>
    </row>
    <row r="5" ht="15" customHeight="1" s="67">
      <c r="A5" s="110" t="inlineStr">
        <is>
          <t>Grid hierarchy</t>
        </is>
      </c>
    </row>
    <row r="6" ht="15" customHeight="1" s="67">
      <c r="A6" s="111" t="inlineStr">
        <is>
          <t>ID</t>
        </is>
      </c>
      <c r="B6" s="111" t="inlineStr">
        <is>
          <t>Level</t>
        </is>
      </c>
      <c r="C6" s="111" t="inlineStr">
        <is>
          <t>Is a grid of</t>
        </is>
      </c>
      <c r="D6" s="111" t="inlineStr">
        <is>
          <t>Each cell holds</t>
        </is>
      </c>
      <c r="E6" s="111" t="inlineStr">
        <is>
          <t>Size (M × N)</t>
        </is>
      </c>
      <c r="F6" s="111" t="inlineStr">
        <is>
          <t>Open Q</t>
        </is>
      </c>
      <c r="G6" s="111" t="inlineStr">
        <is>
          <t>Origin</t>
        </is>
      </c>
      <c r="H6" s="111" t="inlineStr">
        <is>
          <t>Status</t>
        </is>
      </c>
    </row>
    <row r="7" ht="23.85" customHeight="1" s="67">
      <c r="A7" s="74" t="inlineStr">
        <is>
          <t>WG-00</t>
        </is>
      </c>
      <c r="B7" s="74" t="inlineStr">
        <is>
          <t>GeneralGrid</t>
        </is>
      </c>
      <c r="C7" s="74" t="inlineStr">
        <is>
          <t>— (base class)</t>
        </is>
      </c>
      <c r="D7" s="74" t="inlineStr">
        <is>
          <t>Sparse: a dict keyed by (x, y) → cell contents; empty = Void. Bounds M × N are properties.</t>
        </is>
      </c>
      <c r="E7" s="74" t="inlineStr">
        <is>
          <t>n/a</t>
        </is>
      </c>
      <c r="F7" s="74" t="inlineStr">
        <is>
          <t>Q-04</t>
        </is>
      </c>
      <c r="G7" s="74" t="inlineStr">
        <is>
          <t>BP r30–32; Ans Q-04</t>
        </is>
      </c>
      <c r="H7" s="74" t="inlineStr">
        <is>
          <t>Agreed</t>
        </is>
      </c>
    </row>
    <row r="8" ht="23.85" customHeight="1" s="67">
      <c r="A8" s="74" t="inlineStr">
        <is>
          <t>WG-01</t>
        </is>
      </c>
      <c r="B8" s="74" t="inlineStr">
        <is>
          <t>Universe</t>
        </is>
      </c>
      <c r="C8" s="74" t="inlineStr">
        <is>
          <t>Galaxies</t>
        </is>
      </c>
      <c r="D8" s="74" t="inlineStr">
        <is>
          <t>A Galaxy or Void.</t>
        </is>
      </c>
      <c r="E8" s="74" t="inlineStr">
        <is>
          <t>8 × 8 (config)</t>
        </is>
      </c>
      <c r="F8" s="74" t="inlineStr">
        <is>
          <t>Q-05</t>
        </is>
      </c>
      <c r="G8" s="74" t="inlineStr">
        <is>
          <t>BP r34–36; Claude</t>
        </is>
      </c>
      <c r="H8" s="74" t="inlineStr">
        <is>
          <t>Proposed</t>
        </is>
      </c>
    </row>
    <row r="9" ht="23.85" customHeight="1" s="67">
      <c r="A9" s="74" t="inlineStr">
        <is>
          <t>WG-02</t>
        </is>
      </c>
      <c r="B9" s="74" t="inlineStr">
        <is>
          <t>Galaxy</t>
        </is>
      </c>
      <c r="C9" s="74" t="inlineStr">
        <is>
          <t>Sectors</t>
        </is>
      </c>
      <c r="D9" s="74" t="inlineStr">
        <is>
          <t>A Sector or Void.</t>
        </is>
      </c>
      <c r="E9" s="74" t="inlineStr">
        <is>
          <t>16 × 16 (config)</t>
        </is>
      </c>
      <c r="F9" s="74" t="inlineStr">
        <is>
          <t>Q-05</t>
        </is>
      </c>
      <c r="G9" s="74" t="inlineStr">
        <is>
          <t>BP r38–40; Claude</t>
        </is>
      </c>
      <c r="H9" s="74" t="inlineStr">
        <is>
          <t>Proposed</t>
        </is>
      </c>
    </row>
    <row r="10" ht="23.85" customHeight="1" s="67">
      <c r="A10" s="74" t="inlineStr">
        <is>
          <t>WG-03</t>
        </is>
      </c>
      <c r="B10" s="74" t="inlineStr">
        <is>
          <t>Sector</t>
        </is>
      </c>
      <c r="C10" s="74" t="inlineStr">
        <is>
          <t>Cells</t>
        </is>
      </c>
      <c r="D10" s="74" t="inlineStr">
        <is>
          <t>At most one terrain object (star, black hole, neutron star, planet) per cell; any number of items and ships.</t>
        </is>
      </c>
      <c r="E10" s="74" t="inlineStr">
        <is>
          <t>24 × 24 (config)</t>
        </is>
      </c>
      <c r="F10" s="74" t="inlineStr">
        <is>
          <t>Q-06</t>
        </is>
      </c>
      <c r="G10" s="74" t="inlineStr">
        <is>
          <t>BP r42–44; Ans Q-06</t>
        </is>
      </c>
      <c r="H10" s="74" t="inlineStr">
        <is>
          <t>Agreed</t>
        </is>
      </c>
    </row>
    <row r="12" ht="15" customHeight="1" s="67">
      <c r="A12" s="110" t="inlineStr">
        <is>
          <t>Generation rules</t>
        </is>
      </c>
    </row>
    <row r="13" ht="15" customHeight="1" s="67">
      <c r="A13" s="111" t="inlineStr">
        <is>
          <t>ID</t>
        </is>
      </c>
      <c r="B13" s="111" t="inlineStr">
        <is>
          <t>Rule</t>
        </is>
      </c>
      <c r="C13" s="111" t="inlineStr">
        <is>
          <t>Statement</t>
        </is>
      </c>
      <c r="D13" s="111" t="inlineStr">
        <is>
          <t>Notes</t>
        </is>
      </c>
      <c r="E13" s="111" t="inlineStr">
        <is>
          <t>Config key</t>
        </is>
      </c>
      <c r="F13" s="111" t="inlineStr">
        <is>
          <t>Open Q</t>
        </is>
      </c>
      <c r="G13" s="111" t="inlineStr">
        <is>
          <t>Origin</t>
        </is>
      </c>
      <c r="H13" s="111" t="inlineStr">
        <is>
          <t>Status</t>
        </is>
      </c>
    </row>
    <row r="14" ht="46.25" customHeight="1" s="67">
      <c r="A14" s="74" t="inlineStr">
        <is>
          <t>SP-01</t>
        </is>
      </c>
      <c r="B14" s="74" t="inlineStr">
        <is>
          <t>Seed</t>
        </is>
      </c>
      <c r="C14" s="74" t="inlineStr">
        <is>
          <t>Everything is generated from one seed; the same seed gives the same universe.</t>
        </is>
      </c>
      <c r="D14" s="74" t="inlineStr">
        <is>
          <t>Wormhole pairs fixed at seeding.</t>
        </is>
      </c>
      <c r="E14" s="74" t="inlineStr">
        <is>
          <t>[world] seed</t>
        </is>
      </c>
      <c r="F14" s="74" t="inlineStr">
        <is>
          <t>Q-08</t>
        </is>
      </c>
      <c r="G14" s="74" t="inlineStr">
        <is>
          <t>Ans Q-08, Q-11</t>
        </is>
      </c>
      <c r="H14" s="74" t="inlineStr">
        <is>
          <t>Agreed</t>
        </is>
      </c>
    </row>
    <row r="15" ht="35.05" customHeight="1" s="67">
      <c r="A15" s="74" t="inlineStr">
        <is>
          <t>SP-02</t>
        </is>
      </c>
      <c r="B15" s="74" t="inlineStr">
        <is>
          <t>Star systems</t>
        </is>
      </c>
      <c r="C15" s="74" t="inlineStr">
        <is>
          <t>One star per cell; binary / triple systems are stars in adjacent cells.</t>
        </is>
      </c>
      <c r="D15" s="74" t="n"/>
      <c r="E15" s="74" t="inlineStr">
        <is>
          <t>[world] multi_star_pct</t>
        </is>
      </c>
      <c r="F15" s="74" t="inlineStr">
        <is>
          <t>Q-06</t>
        </is>
      </c>
      <c r="G15" s="74" t="inlineStr">
        <is>
          <t>Ans Q-06</t>
        </is>
      </c>
      <c r="H15" s="74" t="inlineStr">
        <is>
          <t>Agreed</t>
        </is>
      </c>
    </row>
    <row r="16" ht="57.45" customHeight="1" s="67">
      <c r="A16" s="74" t="inlineStr">
        <is>
          <t>SP-03</t>
        </is>
      </c>
      <c r="B16" s="74" t="inlineStr">
        <is>
          <t>Item density</t>
        </is>
      </c>
      <c r="C16" s="74" t="inlineStr">
        <is>
          <t>About 10 special items and 100 normal items per galaxy.</t>
        </is>
      </c>
      <c r="D16" s="74" t="n"/>
      <c r="E16" s="74" t="inlineStr">
        <is>
          <t>[world] special_items_per_galaxy = 10, normal_items_per_galaxy = 100</t>
        </is>
      </c>
      <c r="F16" s="74" t="inlineStr">
        <is>
          <t>Q-07</t>
        </is>
      </c>
      <c r="G16" s="74" t="inlineStr">
        <is>
          <t>Ans Q-07</t>
        </is>
      </c>
      <c r="H16" s="74" t="inlineStr">
        <is>
          <t>Agreed</t>
        </is>
      </c>
    </row>
    <row r="17" ht="35.05" customHeight="1" s="67">
      <c r="A17" s="74" t="inlineStr">
        <is>
          <t>SP-04</t>
        </is>
      </c>
      <c r="B17" s="74" t="inlineStr">
        <is>
          <t>Planets</t>
        </is>
      </c>
      <c r="C17" s="74" t="inlineStr">
        <is>
          <t>Planets sit in a cell adjacent to a star; 0–3 per system.</t>
        </is>
      </c>
      <c r="D17" s="74" t="n"/>
      <c r="E17" s="74" t="inlineStr">
        <is>
          <t>[world] planets_per_system_max = 3</t>
        </is>
      </c>
      <c r="F17" s="74" t="n"/>
      <c r="G17" s="74" t="inlineStr">
        <is>
          <t>Claude</t>
        </is>
      </c>
      <c r="H17" s="74" t="inlineStr">
        <is>
          <t>Proposed</t>
        </is>
      </c>
    </row>
    <row r="18" ht="35.05" customHeight="1" s="67">
      <c r="A18" s="74" t="inlineStr">
        <is>
          <t>SP-05</t>
        </is>
      </c>
      <c r="B18" s="74" t="inlineStr">
        <is>
          <t>Starting position</t>
        </is>
      </c>
      <c r="C18" s="74" t="inlineStr">
        <is>
          <t>Player starts in a sector with a planet and no black hole or neutron star.</t>
        </is>
      </c>
      <c r="D18" s="74" t="n"/>
      <c r="E18" s="74" t="inlineStr">
        <is>
          <t>[world] safe_start = true</t>
        </is>
      </c>
      <c r="F18" s="74" t="inlineStr">
        <is>
          <t>Q-08</t>
        </is>
      </c>
      <c r="G18" s="74" t="inlineStr">
        <is>
          <t>Claude</t>
        </is>
      </c>
      <c r="H18" s="74" t="inlineStr">
        <is>
          <t>Proposed</t>
        </is>
      </c>
    </row>
    <row r="19" ht="35.05" customHeight="1" s="67">
      <c r="A19" s="74" t="inlineStr">
        <is>
          <t>SP-06</t>
        </is>
      </c>
      <c r="B19" s="74" t="inlineStr">
        <is>
          <t>AI captains</t>
        </is>
      </c>
      <c r="C19" s="74" t="inlineStr">
        <is>
          <t>3 AI captains per galaxy, placed in random safe sectors.</t>
        </is>
      </c>
      <c r="D19" s="74" t="n"/>
      <c r="E19" s="74" t="inlineStr">
        <is>
          <t>[world] ai_captains_per_galaxy = 3</t>
        </is>
      </c>
      <c r="F19" s="74" t="inlineStr">
        <is>
          <t>Q-13</t>
        </is>
      </c>
      <c r="G19" s="74" t="inlineStr">
        <is>
          <t>Claude</t>
        </is>
      </c>
      <c r="H19" s="74" t="inlineStr">
        <is>
          <t>Proposed</t>
        </is>
      </c>
    </row>
    <row r="20" ht="46.25" customHeight="1" s="67">
      <c r="A20" s="74" t="inlineStr">
        <is>
          <t>SP-07</t>
        </is>
      </c>
      <c r="B20" s="74" t="inlineStr">
        <is>
          <t>Sector density</t>
        </is>
      </c>
      <c r="C20" s="74" t="inlineStr">
        <is>
          <t>Per sector: 0–3 stars, 0–1 black hole or neutron star (never with the player's start), items per SP-03.</t>
        </is>
      </c>
      <c r="D20" s="74" t="n"/>
      <c r="E20" s="74" t="inlineStr">
        <is>
          <t>[world] *</t>
        </is>
      </c>
      <c r="F20" s="74" t="n"/>
      <c r="G20" s="74" t="inlineStr">
        <is>
          <t>Claude</t>
        </is>
      </c>
      <c r="H20" s="74" t="inlineStr">
        <is>
          <t>Proposed</t>
        </is>
      </c>
    </row>
    <row r="21" ht="46.25" customHeight="1" s="67">
      <c r="A21" s="74" t="inlineStr">
        <is>
          <t>SP-08</t>
        </is>
      </c>
      <c r="B21" s="74" t="inlineStr">
        <is>
          <t>Ultimate item</t>
        </is>
      </c>
      <c r="C21" s="74" t="inlineStr">
        <is>
          <t>Placed at eligibility time in a sector at least half the universe diameter from the captain, guarded by ships.</t>
        </is>
      </c>
      <c r="D21" s="74" t="n"/>
      <c r="E21" s="74" t="inlineStr">
        <is>
          <t>[endgame] guard_ships = 4</t>
        </is>
      </c>
      <c r="F21" s="74" t="inlineStr">
        <is>
          <t>Q-15</t>
        </is>
      </c>
      <c r="G21" s="74" t="inlineStr">
        <is>
          <t>Ans Q-15</t>
        </is>
      </c>
      <c r="H21" s="74" t="inlineStr">
        <is>
          <t>Agreed</t>
        </is>
      </c>
    </row>
    <row r="22" ht="15" customHeight="1" s="67">
      <c r="A22" s="74" t="n"/>
      <c r="B22" s="74" t="n"/>
      <c r="C22" s="74" t="n"/>
      <c r="D22" s="74" t="n"/>
      <c r="E22" s="74" t="n"/>
      <c r="F22" s="74" t="n"/>
      <c r="G22" s="74" t="n"/>
      <c r="H22" s="74" t="n"/>
    </row>
  </sheetData>
  <autoFilter ref="A6:H10"/>
  <mergeCells count="2">
    <mergeCell ref="A12:H12"/>
    <mergeCell ref="A5:H5"/>
  </mergeCells>
  <conditionalFormatting sqref="H7:H10">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H14:H22">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dataValidations count="1">
    <dataValidation sqref="H7:H10 H14:H22"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9.xml><?xml version="1.0" encoding="utf-8"?>
<worksheet xmlns="http://schemas.openxmlformats.org/spreadsheetml/2006/main">
  <sheetPr filterMode="0">
    <tabColor rgb="FF7030A0"/>
    <outlinePr summaryBelow="1" summaryRight="1"/>
    <pageSetUpPr fitToPage="1"/>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18" customWidth="1" style="66" min="2" max="2"/>
    <col width="34" customWidth="1" style="66" min="3" max="3"/>
    <col width="40" customWidth="1" style="66" min="4" max="4"/>
    <col width="26" customWidth="1" style="66" min="5" max="5"/>
    <col width="10" customWidth="1" style="66" min="6" max="6"/>
    <col width="14" customWidth="1" style="66" min="7" max="7"/>
    <col width="13" customWidth="1" style="66" min="8" max="8"/>
  </cols>
  <sheetData>
    <row r="1" ht="17.35" customHeight="1" s="67">
      <c r="A1" s="68" t="inlineStr">
        <is>
          <t>7 · Stellar objects</t>
        </is>
      </c>
    </row>
    <row r="2" ht="15" customHeight="1" s="67">
      <c r="A2" s="69" t="inlineStr">
        <is>
          <t>Types, attributes, and the energy → temperature → colour chain with a live calculator</t>
        </is>
      </c>
    </row>
    <row r="3" ht="15" customHeight="1" s="67">
      <c r="A3" s="70">
        <f>HYPERLINK("#'0 Index'!A1","↩ Index")</f>
        <v/>
      </c>
    </row>
    <row r="5" ht="15" customHeight="1" s="67">
      <c r="A5" s="110" t="inlineStr">
        <is>
          <t>Types</t>
        </is>
      </c>
    </row>
    <row r="6" ht="15" customHeight="1" s="67">
      <c r="A6" s="111" t="inlineStr">
        <is>
          <t>ID</t>
        </is>
      </c>
      <c r="B6" s="111" t="inlineStr">
        <is>
          <t>Type</t>
        </is>
      </c>
      <c r="C6" s="111" t="inlineStr">
        <is>
          <t>Attributes</t>
        </is>
      </c>
      <c r="D6" s="111" t="inlineStr">
        <is>
          <t>Notes</t>
        </is>
      </c>
      <c r="E6" s="111" t="inlineStr">
        <is>
          <t>Config key</t>
        </is>
      </c>
      <c r="F6" s="111" t="inlineStr">
        <is>
          <t>Open Q</t>
        </is>
      </c>
      <c r="G6" s="111" t="inlineStr">
        <is>
          <t>Origin</t>
        </is>
      </c>
      <c r="H6" s="111" t="inlineStr">
        <is>
          <t>Status</t>
        </is>
      </c>
    </row>
    <row r="7" ht="23.85" customHeight="1" s="67">
      <c r="A7" s="74" t="inlineStr">
        <is>
          <t>ST-01</t>
        </is>
      </c>
      <c r="B7" s="74" t="inlineStr">
        <is>
          <t>Star</t>
        </is>
      </c>
      <c r="C7" s="74" t="inlineStr">
        <is>
          <t>radius, base_energy, mass</t>
        </is>
      </c>
      <c r="D7" s="74" t="inlineStr">
        <is>
          <t>Pull and shield drain in its own cell only. Fatal if the ship stays.</t>
        </is>
      </c>
      <c r="E7" s="74" t="n"/>
      <c r="F7" s="74" t="n"/>
      <c r="G7" s="74" t="inlineStr">
        <is>
          <t>BP r49, r51; Ans Q-02</t>
        </is>
      </c>
      <c r="H7" s="74" t="inlineStr">
        <is>
          <t>Agreed</t>
        </is>
      </c>
    </row>
    <row r="8" ht="35.05" customHeight="1" s="67">
      <c r="A8" s="74" t="inlineStr">
        <is>
          <t>ST-02</t>
        </is>
      </c>
      <c r="B8" s="74" t="inlineStr">
        <is>
          <t>Neutron star</t>
        </is>
      </c>
      <c r="C8" s="74" t="inlineStr">
        <is>
          <t>mass (lower than a black hole), radius</t>
        </is>
      </c>
      <c r="D8" s="74" t="inlineStr">
        <is>
          <t>Like a black hole but weaker pull: pulls across the sector; fatal if pulled in; no wormhole; no shield drain.</t>
        </is>
      </c>
      <c r="E8" s="74" t="inlineStr">
        <is>
          <t>[stellar] neutron_mass</t>
        </is>
      </c>
      <c r="F8" s="74" t="inlineStr">
        <is>
          <t>Q-09</t>
        </is>
      </c>
      <c r="G8" s="74" t="inlineStr">
        <is>
          <t>Ans Q-09; Claude</t>
        </is>
      </c>
      <c r="H8" s="74" t="inlineStr">
        <is>
          <t>Proposed</t>
        </is>
      </c>
    </row>
    <row r="9" ht="35.05" customHeight="1" s="67">
      <c r="A9" s="74" t="inlineStr">
        <is>
          <t>ST-03</t>
        </is>
      </c>
      <c r="B9" s="74" t="inlineStr">
        <is>
          <t>Black hole</t>
        </is>
      </c>
      <c r="C9" s="74" t="inlineStr">
        <is>
          <t>mass (very high), radius, wormhole (bool)</t>
        </is>
      </c>
      <c r="D9" s="74" t="inlineStr">
        <is>
          <t>Pulls across the whole sector; a ship may lack the engine power to escape (8 Hazards calculator).</t>
        </is>
      </c>
      <c r="E9" s="74" t="inlineStr">
        <is>
          <t>[stellar] blackhole_mass</t>
        </is>
      </c>
      <c r="F9" s="74" t="n"/>
      <c r="G9" s="74" t="inlineStr">
        <is>
          <t>BP r60–62; Ans Q-02</t>
        </is>
      </c>
      <c r="H9" s="74" t="inlineStr">
        <is>
          <t>Agreed</t>
        </is>
      </c>
    </row>
    <row r="10" ht="35.05" customHeight="1" s="67">
      <c r="A10" s="74" t="inlineStr">
        <is>
          <t>ST-04</t>
        </is>
      </c>
      <c r="B10" s="74" t="inlineStr">
        <is>
          <t>Wormhole</t>
        </is>
      </c>
      <c r="C10" s="74" t="inlineStr">
        <is>
          <t>Black hole with a fixed partner (set at seeding)</t>
        </is>
      </c>
      <c r="D10" s="74" t="inlineStr">
        <is>
          <t>Exit can be in the same or another galaxy; the ship survives the crossing; pulled in again if it stays.</t>
        </is>
      </c>
      <c r="E10" s="74" t="n"/>
      <c r="F10" s="74" t="inlineStr">
        <is>
          <t>Q-11</t>
        </is>
      </c>
      <c r="G10" s="74" t="inlineStr">
        <is>
          <t>Ans Q-11</t>
        </is>
      </c>
      <c r="H10" s="74" t="inlineStr">
        <is>
          <t>Agreed</t>
        </is>
      </c>
    </row>
    <row r="12" ht="15" customHeight="1" s="67">
      <c r="A12" s="110" t="inlineStr">
        <is>
          <t>Derived quantities</t>
        </is>
      </c>
    </row>
    <row r="13" ht="15" customHeight="1" s="67">
      <c r="A13" s="111" t="inlineStr">
        <is>
          <t>ID</t>
        </is>
      </c>
      <c r="B13" s="111" t="inlineStr">
        <is>
          <t>Quantity</t>
        </is>
      </c>
      <c r="C13" s="111" t="inlineStr">
        <is>
          <t>Formula</t>
        </is>
      </c>
      <c r="D13" s="111" t="inlineStr">
        <is>
          <t>Notes</t>
        </is>
      </c>
      <c r="E13" s="111" t="inlineStr">
        <is>
          <t>Config key</t>
        </is>
      </c>
      <c r="F13" s="111" t="inlineStr">
        <is>
          <t>Open Q</t>
        </is>
      </c>
      <c r="G13" s="111" t="inlineStr">
        <is>
          <t>Origin</t>
        </is>
      </c>
      <c r="H13" s="111" t="inlineStr">
        <is>
          <t>Status</t>
        </is>
      </c>
    </row>
    <row r="14" ht="15" customHeight="1" s="67">
      <c r="A14" s="74" t="inlineStr">
        <is>
          <t>DQ-01</t>
        </is>
      </c>
      <c r="B14" s="74" t="inlineStr">
        <is>
          <t>Volume</t>
        </is>
      </c>
      <c r="C14" s="74" t="inlineStr">
        <is>
          <t>volume = 4/3 · π · radius³</t>
        </is>
      </c>
      <c r="D14" s="74" t="n"/>
      <c r="E14" s="74" t="n"/>
      <c r="F14" s="74" t="inlineStr">
        <is>
          <t>Q-10</t>
        </is>
      </c>
      <c r="G14" s="74" t="inlineStr">
        <is>
          <t>Ans Q-10</t>
        </is>
      </c>
      <c r="H14" s="74" t="inlineStr">
        <is>
          <t>Agreed</t>
        </is>
      </c>
    </row>
    <row r="15" ht="23.85" customHeight="1" s="67">
      <c r="A15" s="74" t="inlineStr">
        <is>
          <t>DQ-02</t>
        </is>
      </c>
      <c r="B15" s="74" t="inlineStr">
        <is>
          <t>Energy</t>
        </is>
      </c>
      <c r="C15" s="74" t="inlineStr">
        <is>
          <t>energy = base_energy × volume</t>
        </is>
      </c>
      <c r="D15" s="74" t="n"/>
      <c r="E15" s="74" t="n"/>
      <c r="F15" s="74" t="inlineStr">
        <is>
          <t>Q-10</t>
        </is>
      </c>
      <c r="G15" s="74" t="inlineStr">
        <is>
          <t>BP r57; Ans Q-10</t>
        </is>
      </c>
      <c r="H15" s="74" t="inlineStr">
        <is>
          <t>Agreed</t>
        </is>
      </c>
    </row>
    <row r="16" ht="23.85" customHeight="1" s="67">
      <c r="A16" s="74" t="inlineStr">
        <is>
          <t>DQ-03</t>
        </is>
      </c>
      <c r="B16" s="74" t="inlineStr">
        <is>
          <t>Temperature</t>
        </is>
      </c>
      <c r="C16" s="74" t="inlineStr">
        <is>
          <t>temperature = temp_scale × energy^0.25</t>
        </is>
      </c>
      <c r="D16" s="74" t="inlineStr">
        <is>
          <t>Stefan–Boltzmann flavour; temp_scale = 2 700 gives a Sun-like star ≈ 5 800 K.</t>
        </is>
      </c>
      <c r="E16" s="74" t="inlineStr">
        <is>
          <t>[stellar] temp_scale = 2700</t>
        </is>
      </c>
      <c r="F16" s="74" t="inlineStr">
        <is>
          <t>Q-10</t>
        </is>
      </c>
      <c r="G16" s="74" t="inlineStr">
        <is>
          <t>Claude</t>
        </is>
      </c>
      <c r="H16" s="74" t="inlineStr">
        <is>
          <t>Proposed</t>
        </is>
      </c>
    </row>
    <row r="17" ht="23.85" customHeight="1" s="67">
      <c r="A17" s="74" t="inlineStr">
        <is>
          <t>DQ-04</t>
        </is>
      </c>
      <c r="B17" s="74" t="inlineStr">
        <is>
          <t>Colour</t>
        </is>
      </c>
      <c r="C17" s="74" t="inlineStr">
        <is>
          <t>colour = lookup(temperature, colour thresholds)</t>
        </is>
      </c>
      <c r="D17" s="74" t="inlineStr">
        <is>
          <t>Real stellar sequence: red → orange → yellow → yellow-white → white → blue-white → blue.</t>
        </is>
      </c>
      <c r="E17" s="74" t="inlineStr">
        <is>
          <t>[stellar] colour_thresholds</t>
        </is>
      </c>
      <c r="F17" s="74" t="inlineStr">
        <is>
          <t>Q-10</t>
        </is>
      </c>
      <c r="G17" s="74" t="inlineStr">
        <is>
          <t>Claude</t>
        </is>
      </c>
      <c r="H17" s="74" t="inlineStr">
        <is>
          <t>Proposed</t>
        </is>
      </c>
    </row>
    <row r="18" ht="23.85" customHeight="1" s="67">
      <c r="A18" s="74" t="inlineStr">
        <is>
          <t>DQ-05</t>
        </is>
      </c>
      <c r="B18" s="74" t="inlineStr">
        <is>
          <t>Pull</t>
        </is>
      </c>
      <c r="C18" s="74" t="inlineStr">
        <is>
          <t>pull = k_g × mass / (1 + distance)^falloff  (star: same cell only, distance = 0)</t>
        </is>
      </c>
      <c r="D18" s="74" t="inlineStr">
        <is>
          <t>Nets against impulse and warp speed (8 Hazards).</t>
        </is>
      </c>
      <c r="E18" s="74" t="inlineStr">
        <is>
          <t>[hazards] k_g = 1.0, falloff = 1.5</t>
        </is>
      </c>
      <c r="F18" s="74" t="inlineStr">
        <is>
          <t>Q-02</t>
        </is>
      </c>
      <c r="G18" s="74" t="inlineStr">
        <is>
          <t>Ans Q-02; Claude</t>
        </is>
      </c>
      <c r="H18" s="74" t="inlineStr">
        <is>
          <t>Proposed</t>
        </is>
      </c>
    </row>
    <row r="19" ht="15" customHeight="1" s="67">
      <c r="A19" s="74" t="n"/>
      <c r="B19" s="74" t="n"/>
      <c r="C19" s="74" t="n"/>
      <c r="D19" s="74" t="n"/>
      <c r="E19" s="74" t="n"/>
      <c r="F19" s="74" t="n"/>
      <c r="G19" s="74" t="n"/>
      <c r="H19" s="74" t="n"/>
    </row>
    <row r="21" ht="15" customHeight="1" s="67">
      <c r="A21" s="110" t="inlineStr">
        <is>
          <t>Star energy buckets</t>
        </is>
      </c>
    </row>
    <row r="22" ht="15" customHeight="1" s="67">
      <c r="A22" s="111" t="inlineStr">
        <is>
          <t>ID</t>
        </is>
      </c>
      <c r="B22" s="111" t="inlineStr">
        <is>
          <t>Bucket</t>
        </is>
      </c>
      <c r="C22" s="111" t="inlineStr">
        <is>
          <t>Energy range</t>
        </is>
      </c>
      <c r="D22" s="111" t="inlineStr">
        <is>
          <t>Example</t>
        </is>
      </c>
      <c r="E22" s="111" t="inlineStr">
        <is>
          <t>Config key</t>
        </is>
      </c>
      <c r="F22" s="111" t="inlineStr">
        <is>
          <t>Open Q</t>
        </is>
      </c>
      <c r="G22" s="111" t="inlineStr">
        <is>
          <t>Origin</t>
        </is>
      </c>
      <c r="H22" s="111" t="inlineStr">
        <is>
          <t>Status</t>
        </is>
      </c>
    </row>
    <row r="23" ht="23.85" customHeight="1" s="67">
      <c r="A23" s="74" t="inlineStr">
        <is>
          <t>EB-01</t>
        </is>
      </c>
      <c r="B23" s="74" t="inlineStr">
        <is>
          <t>Low</t>
        </is>
      </c>
      <c r="C23" s="74" t="inlineStr">
        <is>
          <t>energy &lt; 5</t>
        </is>
      </c>
      <c r="D23" s="74" t="inlineStr">
        <is>
          <t>Dying star — radius 0.3, base 2 → energy ≈ 0.2, ≈ 1 900 K, red</t>
        </is>
      </c>
      <c r="E23" s="74" t="inlineStr">
        <is>
          <t>[stellar] energy_low_max = 5</t>
        </is>
      </c>
      <c r="F23" s="74" t="inlineStr">
        <is>
          <t>Q-10</t>
        </is>
      </c>
      <c r="G23" s="74" t="inlineStr">
        <is>
          <t>Claude</t>
        </is>
      </c>
      <c r="H23" s="74" t="inlineStr">
        <is>
          <t>Proposed</t>
        </is>
      </c>
    </row>
    <row r="24" ht="23.85" customHeight="1" s="67">
      <c r="A24" s="74" t="inlineStr">
        <is>
          <t>EB-02</t>
        </is>
      </c>
      <c r="B24" s="74" t="inlineStr">
        <is>
          <t>Medium</t>
        </is>
      </c>
      <c r="C24" s="74" t="inlineStr">
        <is>
          <t>5 ≤ energy &lt; 100</t>
        </is>
      </c>
      <c r="D24" s="74" t="inlineStr">
        <is>
          <t>Sun-like — radius 1, base 5 → energy ≈ 21, ≈ 5 800 K, yellow</t>
        </is>
      </c>
      <c r="E24" s="74" t="inlineStr">
        <is>
          <t>[stellar] energy_medium_max = 100</t>
        </is>
      </c>
      <c r="F24" s="74" t="inlineStr">
        <is>
          <t>Q-10</t>
        </is>
      </c>
      <c r="G24" s="74" t="inlineStr">
        <is>
          <t>Claude</t>
        </is>
      </c>
      <c r="H24" s="74" t="inlineStr">
        <is>
          <t>Proposed</t>
        </is>
      </c>
    </row>
    <row r="25" ht="23.85" customHeight="1" s="67">
      <c r="A25" s="74" t="inlineStr">
        <is>
          <t>EB-03</t>
        </is>
      </c>
      <c r="B25" s="74" t="inlineStr">
        <is>
          <t>High</t>
        </is>
      </c>
      <c r="C25" s="74" t="inlineStr">
        <is>
          <t>energy ≥ 100</t>
        </is>
      </c>
      <c r="D25" s="74" t="inlineStr">
        <is>
          <t>Giant — radius 3, base 8 → energy ≈ 905, ≈ 14 800 K, blue-white</t>
        </is>
      </c>
      <c r="E25" s="74" t="inlineStr">
        <is>
          <t>—</t>
        </is>
      </c>
      <c r="F25" s="74" t="inlineStr">
        <is>
          <t>Q-10</t>
        </is>
      </c>
      <c r="G25" s="74" t="inlineStr">
        <is>
          <t>Claude</t>
        </is>
      </c>
      <c r="H25" s="74" t="inlineStr">
        <is>
          <t>Proposed</t>
        </is>
      </c>
    </row>
    <row r="26" ht="15" customHeight="1" s="67">
      <c r="A26" s="74" t="n"/>
      <c r="B26" s="74" t="n"/>
      <c r="C26" s="74" t="n"/>
      <c r="D26" s="74" t="n"/>
      <c r="E26" s="74" t="n"/>
      <c r="F26" s="74" t="n"/>
      <c r="G26" s="74" t="n"/>
      <c r="H26" s="74" t="n"/>
    </row>
    <row r="28" ht="15" customHeight="1" s="67">
      <c r="A28" s="110" t="inlineStr">
        <is>
          <t>Calculator — change the yellow inputs and the rows below recompute</t>
        </is>
      </c>
    </row>
    <row r="29" ht="15" customHeight="1" s="67">
      <c r="A29" s="77" t="inlineStr">
        <is>
          <t>Inputs are placeholders; tune in playtest.</t>
        </is>
      </c>
    </row>
    <row r="30" ht="15" customHeight="1" s="67">
      <c r="A30" s="99" t="inlineStr">
        <is>
          <t>temp_scale</t>
        </is>
      </c>
      <c r="B30" s="112" t="n">
        <v>2700</v>
      </c>
      <c r="C30" s="69" t="inlineStr">
        <is>
          <t>[stellar] temp_scale</t>
        </is>
      </c>
    </row>
    <row r="31" ht="15" customHeight="1" s="67">
      <c r="A31" s="99" t="inlineStr">
        <is>
          <t>energy_low_max</t>
        </is>
      </c>
      <c r="B31" s="112" t="n">
        <v>5</v>
      </c>
      <c r="C31" s="69" t="inlineStr">
        <is>
          <t>[stellar] energy_low_max</t>
        </is>
      </c>
    </row>
    <row r="32" ht="15" customHeight="1" s="67">
      <c r="A32" s="99" t="inlineStr">
        <is>
          <t>energy_medium_max</t>
        </is>
      </c>
      <c r="B32" s="112" t="n">
        <v>100</v>
      </c>
      <c r="C32" s="69" t="inlineStr">
        <is>
          <t>[stellar] energy_medium_max</t>
        </is>
      </c>
    </row>
    <row r="34" ht="15" customHeight="1" s="67">
      <c r="A34" s="99" t="inlineStr">
        <is>
          <t>Colour thresholds (K)</t>
        </is>
      </c>
    </row>
    <row r="35" ht="15" customHeight="1" s="67">
      <c r="A35" s="113" t="n">
        <v>0</v>
      </c>
      <c r="B35" s="113" t="inlineStr">
        <is>
          <t>red</t>
        </is>
      </c>
    </row>
    <row r="36" ht="15" customHeight="1" s="67">
      <c r="A36" s="113" t="n">
        <v>3700</v>
      </c>
      <c r="B36" s="113" t="inlineStr">
        <is>
          <t>orange</t>
        </is>
      </c>
    </row>
    <row r="37" ht="15" customHeight="1" s="67">
      <c r="A37" s="113" t="n">
        <v>5200</v>
      </c>
      <c r="B37" s="113" t="inlineStr">
        <is>
          <t>yellow</t>
        </is>
      </c>
    </row>
    <row r="38" ht="15" customHeight="1" s="67">
      <c r="A38" s="113" t="n">
        <v>6000</v>
      </c>
      <c r="B38" s="113" t="inlineStr">
        <is>
          <t>yellow-white</t>
        </is>
      </c>
    </row>
    <row r="39" ht="15" customHeight="1" s="67">
      <c r="A39" s="113" t="n">
        <v>7500</v>
      </c>
      <c r="B39" s="113" t="inlineStr">
        <is>
          <t>white</t>
        </is>
      </c>
    </row>
    <row r="40" ht="15" customHeight="1" s="67">
      <c r="A40" s="113" t="n">
        <v>10000</v>
      </c>
      <c r="B40" s="113" t="inlineStr">
        <is>
          <t>blue-white</t>
        </is>
      </c>
    </row>
    <row r="41" ht="15" customHeight="1" s="67">
      <c r="A41" s="113" t="n">
        <v>30000</v>
      </c>
      <c r="B41" s="113" t="inlineStr">
        <is>
          <t>blue</t>
        </is>
      </c>
    </row>
    <row r="43" ht="15" customHeight="1" s="67">
      <c r="A43" s="114" t="inlineStr">
        <is>
          <t>Example star</t>
        </is>
      </c>
      <c r="B43" s="114" t="inlineStr">
        <is>
          <t>radius</t>
        </is>
      </c>
      <c r="C43" s="114" t="inlineStr">
        <is>
          <t>base_energy</t>
        </is>
      </c>
      <c r="D43" s="114" t="inlineStr">
        <is>
          <t>volume</t>
        </is>
      </c>
      <c r="E43" s="114" t="inlineStr">
        <is>
          <t>energy</t>
        </is>
      </c>
      <c r="F43" s="114" t="inlineStr">
        <is>
          <t>bucket</t>
        </is>
      </c>
      <c r="G43" s="114" t="inlineStr">
        <is>
          <t>temperature K</t>
        </is>
      </c>
      <c r="H43" s="114" t="inlineStr">
        <is>
          <t>colour</t>
        </is>
      </c>
    </row>
    <row r="44" ht="15" customHeight="1" s="67">
      <c r="A44" s="81" t="inlineStr">
        <is>
          <t>dying star</t>
        </is>
      </c>
      <c r="B44" s="112" t="n">
        <v>0.3</v>
      </c>
      <c r="C44" s="112" t="n">
        <v>2</v>
      </c>
      <c r="D44" s="115">
        <f>4/3*PI()*B44^3</f>
        <v/>
      </c>
      <c r="E44" s="115">
        <f>C44*D44</f>
        <v/>
      </c>
      <c r="F44" s="81">
        <f>IF(E44&lt;$B$31,"low",IF(E44&lt;$B$32,"medium","high"))</f>
        <v/>
      </c>
      <c r="G44" s="116">
        <f>$B$30*E44^0.25</f>
        <v/>
      </c>
      <c r="H44" s="81">
        <f>LOOKUP(G44,$A$35:$A$41,$B$35:$B$41)</f>
        <v/>
      </c>
    </row>
    <row r="45" ht="15" customHeight="1" s="67">
      <c r="A45" s="81" t="inlineStr">
        <is>
          <t>Sun-like</t>
        </is>
      </c>
      <c r="B45" s="112" t="n">
        <v>1</v>
      </c>
      <c r="C45" s="112" t="n">
        <v>5</v>
      </c>
      <c r="D45" s="115">
        <f>4/3*PI()*B45^3</f>
        <v/>
      </c>
      <c r="E45" s="115">
        <f>C45*D45</f>
        <v/>
      </c>
      <c r="F45" s="81">
        <f>IF(E45&lt;$B$31,"low",IF(E45&lt;$B$32,"medium","high"))</f>
        <v/>
      </c>
      <c r="G45" s="116">
        <f>$B$30*E45^0.25</f>
        <v/>
      </c>
      <c r="H45" s="81">
        <f>LOOKUP(G45,$A$35:$A$41,$B$35:$B$41)</f>
        <v/>
      </c>
    </row>
    <row r="46" ht="15" customHeight="1" s="67">
      <c r="A46" s="81" t="inlineStr">
        <is>
          <t>giant</t>
        </is>
      </c>
      <c r="B46" s="112" t="n">
        <v>3</v>
      </c>
      <c r="C46" s="112" t="n">
        <v>8</v>
      </c>
      <c r="D46" s="115">
        <f>4/3*PI()*B46^3</f>
        <v/>
      </c>
      <c r="E46" s="115">
        <f>C46*D46</f>
        <v/>
      </c>
      <c r="F46" s="81">
        <f>IF(E46&lt;$B$31,"low",IF(E46&lt;$B$32,"medium","high"))</f>
        <v/>
      </c>
      <c r="G46" s="116">
        <f>$B$30*E46^0.25</f>
        <v/>
      </c>
      <c r="H46" s="81">
        <f>LOOKUP(G46,$A$35:$A$41,$B$35:$B$41)</f>
        <v/>
      </c>
    </row>
    <row r="47" ht="15" customHeight="1" s="67">
      <c r="A47" s="81" t="inlineStr">
        <is>
          <t>your own</t>
        </is>
      </c>
      <c r="B47" s="112" t="n">
        <v>1.5</v>
      </c>
      <c r="C47" s="112" t="n">
        <v>6</v>
      </c>
      <c r="D47" s="115">
        <f>4/3*PI()*B47^3</f>
        <v/>
      </c>
      <c r="E47" s="115">
        <f>C47*D47</f>
        <v/>
      </c>
      <c r="F47" s="81">
        <f>IF(E47&lt;$B$31,"low",IF(E47&lt;$B$32,"medium","high"))</f>
        <v/>
      </c>
      <c r="G47" s="116">
        <f>$B$30*E47^0.25</f>
        <v/>
      </c>
      <c r="H47" s="81">
        <f>LOOKUP(G47,$A$35:$A$41,$B$35:$B$41)</f>
        <v/>
      </c>
    </row>
  </sheetData>
  <autoFilter ref="A6:H10"/>
  <mergeCells count="5">
    <mergeCell ref="A12:H12"/>
    <mergeCell ref="A21:H21"/>
    <mergeCell ref="A29:H29"/>
    <mergeCell ref="A28:H28"/>
    <mergeCell ref="A5:H5"/>
  </mergeCells>
  <conditionalFormatting sqref="H7:H10">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H14:H19">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H23:H26">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dataValidations count="1">
    <dataValidation sqref="H7:H10 H14:H19 H23:H26"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7030A0"/>
    <outlinePr summaryBelow="1" summaryRight="1"/>
    <pageSetUpPr fitToPage="1"/>
  </sheetPr>
  <dimension ref="A1:I42"/>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14" customWidth="1" style="66" min="2" max="2"/>
    <col width="32" customWidth="1" style="66" min="3" max="3"/>
    <col width="40" customWidth="1" style="66" min="4" max="4"/>
    <col width="22" customWidth="1" style="66" min="5" max="5"/>
    <col width="24" customWidth="1" style="66" min="6" max="6"/>
    <col width="10" customWidth="1" style="66" min="7" max="7"/>
    <col width="14" customWidth="1" style="66" min="8" max="8"/>
    <col width="13" customWidth="1" style="66" min="9" max="9"/>
  </cols>
  <sheetData>
    <row r="1" ht="17.35" customHeight="1" s="67">
      <c r="A1" s="68" t="inlineStr">
        <is>
          <t>8 · Hazard rules</t>
        </is>
      </c>
    </row>
    <row r="2" ht="15" customHeight="1" s="67">
      <c r="A2" s="69" t="inlineStr">
        <is>
          <t>Gravity, shield drain, black holes, wormholes — with a pull calculator</t>
        </is>
      </c>
    </row>
    <row r="3" ht="15" customHeight="1" s="67">
      <c r="A3" s="70">
        <f>HYPERLINK("#'0 Index'!A1","↩ Index")</f>
        <v/>
      </c>
    </row>
    <row r="5" ht="15" customHeight="1" s="67">
      <c r="A5" s="110" t="inlineStr">
        <is>
          <t>Rules</t>
        </is>
      </c>
    </row>
    <row r="6" ht="15" customHeight="1" s="67">
      <c r="A6" s="111" t="inlineStr">
        <is>
          <t>ID</t>
        </is>
      </c>
      <c r="B6" s="111" t="inlineStr">
        <is>
          <t>Object</t>
        </is>
      </c>
      <c r="C6" s="111" t="inlineStr">
        <is>
          <t>Trigger</t>
        </is>
      </c>
      <c r="D6" s="111" t="inlineStr">
        <is>
          <t>Effect</t>
        </is>
      </c>
      <c r="E6" s="111" t="inlineStr">
        <is>
          <t>Magnitude</t>
        </is>
      </c>
      <c r="F6" s="111" t="inlineStr">
        <is>
          <t>Config key</t>
        </is>
      </c>
      <c r="G6" s="111" t="inlineStr">
        <is>
          <t>Open Q</t>
        </is>
      </c>
      <c r="H6" s="111" t="inlineStr">
        <is>
          <t>Origin</t>
        </is>
      </c>
      <c r="I6" s="111" t="inlineStr">
        <is>
          <t>Status</t>
        </is>
      </c>
    </row>
    <row r="7" ht="15" customHeight="1" s="67">
      <c r="A7" s="74" t="inlineStr">
        <is>
          <t>HZ-01</t>
        </is>
      </c>
      <c r="B7" s="74" t="inlineStr">
        <is>
          <t>Star</t>
        </is>
      </c>
      <c r="C7" s="74" t="inlineStr">
        <is>
          <t>Ship 1+ cells away</t>
        </is>
      </c>
      <c r="D7" s="74" t="inlineStr">
        <is>
          <t>No effect.</t>
        </is>
      </c>
      <c r="E7" s="74" t="inlineStr">
        <is>
          <t>0</t>
        </is>
      </c>
      <c r="F7" s="74" t="n"/>
      <c r="G7" s="74" t="n"/>
      <c r="H7" s="74" t="inlineStr">
        <is>
          <t>BP r65</t>
        </is>
      </c>
      <c r="I7" s="74" t="inlineStr">
        <is>
          <t>Agreed</t>
        </is>
      </c>
    </row>
    <row r="8" ht="23.85" customHeight="1" s="67">
      <c r="A8" s="74" t="inlineStr">
        <is>
          <t>HZ-02</t>
        </is>
      </c>
      <c r="B8" s="74" t="inlineStr">
        <is>
          <t>Star</t>
        </is>
      </c>
      <c r="C8" s="74" t="inlineStr">
        <is>
          <t>Ship in the same cell</t>
        </is>
      </c>
      <c r="D8" s="74" t="inlineStr">
        <is>
          <t>Pull nets against speed; if the ship does not get out, it is pulled in after N turns and destroyed.</t>
        </is>
      </c>
      <c r="E8" s="74" t="inlineStr">
        <is>
          <t>N = ceil(pull_turns_scale / pull); Sun-like ≈ 7 turns</t>
        </is>
      </c>
      <c r="F8" s="74" t="inlineStr">
        <is>
          <t>[hazards] pull_turns_scale = 7</t>
        </is>
      </c>
      <c r="G8" s="74" t="inlineStr">
        <is>
          <t>Q-02</t>
        </is>
      </c>
      <c r="H8" s="74" t="inlineStr">
        <is>
          <t>BP r66–67; Ans Q-02</t>
        </is>
      </c>
      <c r="I8" s="74" t="inlineStr">
        <is>
          <t>Agreed</t>
        </is>
      </c>
    </row>
    <row r="9" ht="35.05" customHeight="1" s="67">
      <c r="A9" s="74" t="inlineStr">
        <is>
          <t>HZ-03</t>
        </is>
      </c>
      <c r="B9" s="74" t="inlineStr">
        <is>
          <t>Star</t>
        </is>
      </c>
      <c r="C9" s="74" t="inlineStr">
        <is>
          <t>Ship in the same cell</t>
        </is>
      </c>
      <c r="D9" s="74" t="inlineStr">
        <is>
          <t>Shields drain each turn by the star's bucket.</t>
        </is>
      </c>
      <c r="E9" s="74" t="inlineStr">
        <is>
          <t>low 5 · medium 10 · high 20 per turn (of 100)</t>
        </is>
      </c>
      <c r="F9" s="74" t="inlineStr">
        <is>
          <t>[hazards] drain_low = 5, drain_medium = 10, drain_high = 20</t>
        </is>
      </c>
      <c r="G9" s="74" t="inlineStr">
        <is>
          <t>Q-03</t>
        </is>
      </c>
      <c r="H9" s="74" t="inlineStr">
        <is>
          <t>Ans Q-03; Claude</t>
        </is>
      </c>
      <c r="I9" s="74" t="inlineStr">
        <is>
          <t>Proposed</t>
        </is>
      </c>
    </row>
    <row r="10" ht="35.05" customHeight="1" s="67">
      <c r="A10" s="74" t="inlineStr">
        <is>
          <t>HZ-04</t>
        </is>
      </c>
      <c r="B10" s="74" t="inlineStr">
        <is>
          <t>Black hole</t>
        </is>
      </c>
      <c r="C10" s="74" t="inlineStr">
        <is>
          <t>Ship anywhere in the sector</t>
        </is>
      </c>
      <c r="D10" s="74" t="inlineStr">
        <is>
          <t>Pull nets against speed at every distance; a ship whose engine ≤ pull cannot move away. Pulled in and destroyed after N turns if it does not get out.</t>
        </is>
      </c>
      <c r="E10" s="74" t="inlineStr">
        <is>
          <t>see calculator</t>
        </is>
      </c>
      <c r="F10" s="74" t="inlineStr">
        <is>
          <t>[stellar] blackhole_mass = 20</t>
        </is>
      </c>
      <c r="G10" s="74" t="inlineStr">
        <is>
          <t>Q-02</t>
        </is>
      </c>
      <c r="H10" s="74" t="inlineStr">
        <is>
          <t>BP r70, r72; Ans Q-02</t>
        </is>
      </c>
      <c r="I10" s="74" t="inlineStr">
        <is>
          <t>Agreed</t>
        </is>
      </c>
    </row>
    <row r="11" ht="23.85" customHeight="1" s="67">
      <c r="A11" s="74" t="inlineStr">
        <is>
          <t>HZ-05</t>
        </is>
      </c>
      <c r="B11" s="74" t="inlineStr">
        <is>
          <t>Wormhole</t>
        </is>
      </c>
      <c r="C11" s="74" t="inlineStr">
        <is>
          <t>Ship pulled into a wormhole black hole</t>
        </is>
      </c>
      <c r="D11" s="74" t="inlineStr">
        <is>
          <t>Emerges at the fixed partner (same or other galaxy), alive; pulled in again if it stays.</t>
        </is>
      </c>
      <c r="E11" s="74" t="n"/>
      <c r="F11" s="74" t="n"/>
      <c r="G11" s="74" t="inlineStr">
        <is>
          <t>Q-11</t>
        </is>
      </c>
      <c r="H11" s="74" t="inlineStr">
        <is>
          <t>BP r71–72; Ans Q-11</t>
        </is>
      </c>
      <c r="I11" s="74" t="inlineStr">
        <is>
          <t>Agreed</t>
        </is>
      </c>
    </row>
    <row r="12" ht="23.85" customHeight="1" s="67">
      <c r="A12" s="74" t="inlineStr">
        <is>
          <t>HZ-06</t>
        </is>
      </c>
      <c r="B12" s="74" t="inlineStr">
        <is>
          <t>Neutron star</t>
        </is>
      </c>
      <c r="C12" s="74" t="inlineStr">
        <is>
          <t>Ship anywhere in the sector</t>
        </is>
      </c>
      <c r="D12" s="74" t="inlineStr">
        <is>
          <t>As a black hole with lower mass; no shield drain; no wormhole.</t>
        </is>
      </c>
      <c r="E12" s="74" t="inlineStr">
        <is>
          <t>see calculator</t>
        </is>
      </c>
      <c r="F12" s="74" t="inlineStr">
        <is>
          <t>[stellar] neutron_mass = 8</t>
        </is>
      </c>
      <c r="G12" s="74" t="inlineStr">
        <is>
          <t>Q-09</t>
        </is>
      </c>
      <c r="H12" s="74" t="inlineStr">
        <is>
          <t>Ans Q-09; Claude</t>
        </is>
      </c>
      <c r="I12" s="74" t="inlineStr">
        <is>
          <t>Proposed</t>
        </is>
      </c>
    </row>
    <row r="13" ht="15" customHeight="1" s="67">
      <c r="A13" s="74" t="inlineStr">
        <is>
          <t>HZ-07</t>
        </is>
      </c>
      <c r="B13" s="74" t="inlineStr">
        <is>
          <t>Planet</t>
        </is>
      </c>
      <c r="C13" s="74" t="inlineStr">
        <is>
          <t>Ship in the same cell</t>
        </is>
      </c>
      <c r="D13" s="74" t="inlineStr">
        <is>
          <t>No hazard; trading and landing happen here.</t>
        </is>
      </c>
      <c r="E13" s="74" t="n"/>
      <c r="F13" s="74" t="n"/>
      <c r="G13" s="74" t="inlineStr">
        <is>
          <t>Q-21</t>
        </is>
      </c>
      <c r="H13" s="74" t="inlineStr">
        <is>
          <t>Claude</t>
        </is>
      </c>
      <c r="I13" s="74" t="inlineStr">
        <is>
          <t>Proposed</t>
        </is>
      </c>
    </row>
    <row r="14" ht="23.85" customHeight="1" s="67">
      <c r="A14" s="74" t="inlineStr">
        <is>
          <t>HZ-08</t>
        </is>
      </c>
      <c r="B14" s="74" t="inlineStr">
        <is>
          <t>Countdown reset</t>
        </is>
      </c>
      <c r="C14" s="74" t="inlineStr">
        <is>
          <t>Ship leaves the pull range (star: the cell; hole: the sector)</t>
        </is>
      </c>
      <c r="D14" s="74" t="inlineStr">
        <is>
          <t>Countdown resets to N.</t>
        </is>
      </c>
      <c r="E14" s="74" t="n"/>
      <c r="F14" s="74" t="n"/>
      <c r="G14" s="74" t="inlineStr">
        <is>
          <t>Q-02</t>
        </is>
      </c>
      <c r="H14" s="74" t="inlineStr">
        <is>
          <t>Claude</t>
        </is>
      </c>
      <c r="I14" s="74" t="inlineStr">
        <is>
          <t>Proposed</t>
        </is>
      </c>
    </row>
    <row r="15" ht="15" customHeight="1" s="67">
      <c r="A15" s="74" t="inlineStr">
        <is>
          <t>HZ-09</t>
        </is>
      </c>
      <c r="B15" s="74" t="inlineStr">
        <is>
          <t>Zero shields</t>
        </is>
      </c>
      <c r="C15" s="74" t="inlineStr">
        <is>
          <t>Shields reach 0 (from drain or combat)</t>
        </is>
      </c>
      <c r="D15" s="74" t="inlineStr">
        <is>
          <t>The next hit of any kind destroys the ship.</t>
        </is>
      </c>
      <c r="E15" s="74" t="n"/>
      <c r="F15" s="74" t="n"/>
      <c r="G15" s="74" t="inlineStr">
        <is>
          <t>Q-03</t>
        </is>
      </c>
      <c r="H15" s="74" t="inlineStr">
        <is>
          <t>Ans Q-03</t>
        </is>
      </c>
      <c r="I15" s="74" t="inlineStr">
        <is>
          <t>Agreed</t>
        </is>
      </c>
    </row>
    <row r="16" ht="23.85" customHeight="1" s="67">
      <c r="A16" s="74" t="inlineStr">
        <is>
          <t>HZ-10</t>
        </is>
      </c>
      <c r="B16" s="74" t="inlineStr">
        <is>
          <t>Warp inside pull</t>
        </is>
      </c>
      <c r="C16" s="74" t="inlineStr">
        <is>
          <t>Warping out of a hole's sector</t>
        </is>
      </c>
      <c r="D16" s="74" t="inlineStr">
        <is>
          <t>Warp factor is netted by pull too: effective = factor − pull; if ≤ 0 the warp fails.</t>
        </is>
      </c>
      <c r="E16" s="74" t="n"/>
      <c r="F16" s="74" t="n"/>
      <c r="G16" s="74" t="inlineStr">
        <is>
          <t>Q-02</t>
        </is>
      </c>
      <c r="H16" s="74" t="inlineStr">
        <is>
          <t>Claude</t>
        </is>
      </c>
      <c r="I16" s="74" t="inlineStr">
        <is>
          <t>Proposed</t>
        </is>
      </c>
    </row>
    <row r="17" ht="15" customHeight="1" s="67">
      <c r="A17" s="74" t="n"/>
      <c r="B17" s="74" t="n"/>
      <c r="C17" s="74" t="n"/>
      <c r="D17" s="74" t="n"/>
      <c r="E17" s="74" t="n"/>
      <c r="F17" s="74" t="n"/>
      <c r="G17" s="74" t="n"/>
      <c r="H17" s="74" t="n"/>
      <c r="I17" s="74" t="n"/>
    </row>
    <row r="19" ht="15" customHeight="1" s="67">
      <c r="A19" s="110" t="inlineStr">
        <is>
          <t>Pull calculator — yellow inputs; distance is in sector cells from the hole</t>
        </is>
      </c>
    </row>
    <row r="20" ht="15" customHeight="1" s="67">
      <c r="A20" s="77" t="inlineStr">
        <is>
          <t>All inputs are placeholders — the 7-turn Sun-like star is only the blueprint's example. Tune in playtest (Chat A16).</t>
        </is>
      </c>
    </row>
    <row r="21" ht="15" customHeight="1" s="67">
      <c r="A21" s="99" t="inlineStr">
        <is>
          <t>k_g</t>
        </is>
      </c>
      <c r="B21" s="112" t="n">
        <v>1</v>
      </c>
      <c r="C21" s="69" t="inlineStr">
        <is>
          <t>[hazards] k_g</t>
        </is>
      </c>
    </row>
    <row r="22" ht="15" customHeight="1" s="67">
      <c r="A22" s="99" t="inlineStr">
        <is>
          <t>falloff</t>
        </is>
      </c>
      <c r="B22" s="112" t="n">
        <v>1.5</v>
      </c>
      <c r="C22" s="69" t="inlineStr">
        <is>
          <t>[hazards] falloff exponent</t>
        </is>
      </c>
    </row>
    <row r="23" ht="15" customHeight="1" s="67">
      <c r="A23" s="99" t="inlineStr">
        <is>
          <t>blackhole_mass</t>
        </is>
      </c>
      <c r="B23" s="112" t="n">
        <v>20</v>
      </c>
      <c r="C23" s="69" t="inlineStr">
        <is>
          <t>[stellar] blackhole_mass</t>
        </is>
      </c>
    </row>
    <row r="24" ht="15" customHeight="1" s="67">
      <c r="A24" s="99" t="inlineStr">
        <is>
          <t>neutron_mass</t>
        </is>
      </c>
      <c r="B24" s="112" t="n">
        <v>8</v>
      </c>
      <c r="C24" s="69" t="inlineStr">
        <is>
          <t>[stellar] neutron_mass</t>
        </is>
      </c>
    </row>
    <row r="25" ht="15" customHeight="1" s="67">
      <c r="A25" s="99" t="inlineStr">
        <is>
          <t>sun_mass</t>
        </is>
      </c>
      <c r="B25" s="112" t="n">
        <v>1</v>
      </c>
      <c r="C25" s="69" t="inlineStr">
        <is>
          <t>a Sun-like star's mass</t>
        </is>
      </c>
    </row>
    <row r="26" ht="15" customHeight="1" s="67">
      <c r="A26" s="99" t="inlineStr">
        <is>
          <t>pull_turns_scale</t>
        </is>
      </c>
      <c r="B26" s="112" t="n">
        <v>7</v>
      </c>
      <c r="C26" s="69" t="inlineStr">
        <is>
          <t>[hazards] pull_turns_scale</t>
        </is>
      </c>
    </row>
    <row r="28" ht="15" customHeight="1" s="67">
      <c r="A28" s="114" t="inlineStr">
        <is>
          <t>distance</t>
        </is>
      </c>
      <c r="B28" s="114" t="inlineStr">
        <is>
          <t>black hole pull</t>
        </is>
      </c>
      <c r="C28" s="114" t="inlineStr">
        <is>
          <t>min engine to move</t>
        </is>
      </c>
      <c r="D28" s="114" t="inlineStr">
        <is>
          <t>turns to pulled in</t>
        </is>
      </c>
      <c r="E28" s="114" t="inlineStr">
        <is>
          <t>neutron pull</t>
        </is>
      </c>
      <c r="F28" s="114" t="inlineStr">
        <is>
          <t>min engine to move</t>
        </is>
      </c>
      <c r="G28" s="114" t="inlineStr">
        <is>
          <t>turns to pulled in</t>
        </is>
      </c>
    </row>
    <row r="29" ht="15" customHeight="1" s="67">
      <c r="A29" s="81" t="n">
        <v>0</v>
      </c>
      <c r="B29" s="117">
        <f>$B$21*$B$23/(1+A29)^$B$22</f>
        <v/>
      </c>
      <c r="C29" s="81">
        <f>IF(B29&gt;=10,"impossible",ROUNDUP(B29+0.01,1))</f>
        <v/>
      </c>
      <c r="D29" s="81">
        <f>ROUNDUP($B$26/B29,0)</f>
        <v/>
      </c>
      <c r="E29" s="117">
        <f>$B$21*$B$24/(1+A29)^$B$22</f>
        <v/>
      </c>
      <c r="F29" s="81">
        <f>IF(E29&gt;=10,"impossible",ROUNDUP(E29+0.01,1))</f>
        <v/>
      </c>
      <c r="G29" s="81">
        <f>ROUNDUP($B$26/E29,0)</f>
        <v/>
      </c>
    </row>
    <row r="30" ht="15" customHeight="1" s="67">
      <c r="A30" s="81" t="n">
        <v>1</v>
      </c>
      <c r="B30" s="117">
        <f>$B$21*$B$23/(1+A30)^$B$22</f>
        <v/>
      </c>
      <c r="C30" s="81">
        <f>IF(B30&gt;=10,"impossible",ROUNDUP(B30+0.01,1))</f>
        <v/>
      </c>
      <c r="D30" s="81">
        <f>ROUNDUP($B$26/B30,0)</f>
        <v/>
      </c>
      <c r="E30" s="117">
        <f>$B$21*$B$24/(1+A30)^$B$22</f>
        <v/>
      </c>
      <c r="F30" s="81">
        <f>IF(E30&gt;=10,"impossible",ROUNDUP(E30+0.01,1))</f>
        <v/>
      </c>
      <c r="G30" s="81">
        <f>ROUNDUP($B$26/E30,0)</f>
        <v/>
      </c>
    </row>
    <row r="31" ht="15" customHeight="1" s="67">
      <c r="A31" s="81" t="n">
        <v>2</v>
      </c>
      <c r="B31" s="117">
        <f>$B$21*$B$23/(1+A31)^$B$22</f>
        <v/>
      </c>
      <c r="C31" s="81">
        <f>IF(B31&gt;=10,"impossible",ROUNDUP(B31+0.01,1))</f>
        <v/>
      </c>
      <c r="D31" s="81">
        <f>ROUNDUP($B$26/B31,0)</f>
        <v/>
      </c>
      <c r="E31" s="117">
        <f>$B$21*$B$24/(1+A31)^$B$22</f>
        <v/>
      </c>
      <c r="F31" s="81">
        <f>IF(E31&gt;=10,"impossible",ROUNDUP(E31+0.01,1))</f>
        <v/>
      </c>
      <c r="G31" s="81">
        <f>ROUNDUP($B$26/E31,0)</f>
        <v/>
      </c>
    </row>
    <row r="32" ht="15" customHeight="1" s="67">
      <c r="A32" s="81" t="n">
        <v>3</v>
      </c>
      <c r="B32" s="117">
        <f>$B$21*$B$23/(1+A32)^$B$22</f>
        <v/>
      </c>
      <c r="C32" s="81">
        <f>IF(B32&gt;=10,"impossible",ROUNDUP(B32+0.01,1))</f>
        <v/>
      </c>
      <c r="D32" s="81">
        <f>ROUNDUP($B$26/B32,0)</f>
        <v/>
      </c>
      <c r="E32" s="117">
        <f>$B$21*$B$24/(1+A32)^$B$22</f>
        <v/>
      </c>
      <c r="F32" s="81">
        <f>IF(E32&gt;=10,"impossible",ROUNDUP(E32+0.01,1))</f>
        <v/>
      </c>
      <c r="G32" s="81">
        <f>ROUNDUP($B$26/E32,0)</f>
        <v/>
      </c>
    </row>
    <row r="33" ht="15" customHeight="1" s="67">
      <c r="A33" s="81" t="n">
        <v>4</v>
      </c>
      <c r="B33" s="117">
        <f>$B$21*$B$23/(1+A33)^$B$22</f>
        <v/>
      </c>
      <c r="C33" s="81">
        <f>IF(B33&gt;=10,"impossible",ROUNDUP(B33+0.01,1))</f>
        <v/>
      </c>
      <c r="D33" s="81">
        <f>ROUNDUP($B$26/B33,0)</f>
        <v/>
      </c>
      <c r="E33" s="117">
        <f>$B$21*$B$24/(1+A33)^$B$22</f>
        <v/>
      </c>
      <c r="F33" s="81">
        <f>IF(E33&gt;=10,"impossible",ROUNDUP(E33+0.01,1))</f>
        <v/>
      </c>
      <c r="G33" s="81">
        <f>ROUNDUP($B$26/E33,0)</f>
        <v/>
      </c>
    </row>
    <row r="34" ht="15" customHeight="1" s="67">
      <c r="A34" s="81" t="n">
        <v>5</v>
      </c>
      <c r="B34" s="117">
        <f>$B$21*$B$23/(1+A34)^$B$22</f>
        <v/>
      </c>
      <c r="C34" s="81">
        <f>IF(B34&gt;=10,"impossible",ROUNDUP(B34+0.01,1))</f>
        <v/>
      </c>
      <c r="D34" s="81">
        <f>ROUNDUP($B$26/B34,0)</f>
        <v/>
      </c>
      <c r="E34" s="117">
        <f>$B$21*$B$24/(1+A34)^$B$22</f>
        <v/>
      </c>
      <c r="F34" s="81">
        <f>IF(E34&gt;=10,"impossible",ROUNDUP(E34+0.01,1))</f>
        <v/>
      </c>
      <c r="G34" s="81">
        <f>ROUNDUP($B$26/E34,0)</f>
        <v/>
      </c>
    </row>
    <row r="35" ht="15" customHeight="1" s="67">
      <c r="A35" s="81" t="n">
        <v>6</v>
      </c>
      <c r="B35" s="117">
        <f>$B$21*$B$23/(1+A35)^$B$22</f>
        <v/>
      </c>
      <c r="C35" s="81">
        <f>IF(B35&gt;=10,"impossible",ROUNDUP(B35+0.01,1))</f>
        <v/>
      </c>
      <c r="D35" s="81">
        <f>ROUNDUP($B$26/B35,0)</f>
        <v/>
      </c>
      <c r="E35" s="117">
        <f>$B$21*$B$24/(1+A35)^$B$22</f>
        <v/>
      </c>
      <c r="F35" s="81">
        <f>IF(E35&gt;=10,"impossible",ROUNDUP(E35+0.01,1))</f>
        <v/>
      </c>
      <c r="G35" s="81">
        <f>ROUNDUP($B$26/E35,0)</f>
        <v/>
      </c>
    </row>
    <row r="36" ht="15" customHeight="1" s="67">
      <c r="A36" s="81" t="n">
        <v>7</v>
      </c>
      <c r="B36" s="117">
        <f>$B$21*$B$23/(1+A36)^$B$22</f>
        <v/>
      </c>
      <c r="C36" s="81">
        <f>IF(B36&gt;=10,"impossible",ROUNDUP(B36+0.01,1))</f>
        <v/>
      </c>
      <c r="D36" s="81">
        <f>ROUNDUP($B$26/B36,0)</f>
        <v/>
      </c>
      <c r="E36" s="117">
        <f>$B$21*$B$24/(1+A36)^$B$22</f>
        <v/>
      </c>
      <c r="F36" s="81">
        <f>IF(E36&gt;=10,"impossible",ROUNDUP(E36+0.01,1))</f>
        <v/>
      </c>
      <c r="G36" s="81">
        <f>ROUNDUP($B$26/E36,0)</f>
        <v/>
      </c>
    </row>
    <row r="37" ht="15" customHeight="1" s="67">
      <c r="A37" s="81" t="n">
        <v>8</v>
      </c>
      <c r="B37" s="117">
        <f>$B$21*$B$23/(1+A37)^$B$22</f>
        <v/>
      </c>
      <c r="C37" s="81">
        <f>IF(B37&gt;=10,"impossible",ROUNDUP(B37+0.01,1))</f>
        <v/>
      </c>
      <c r="D37" s="81">
        <f>ROUNDUP($B$26/B37,0)</f>
        <v/>
      </c>
      <c r="E37" s="117">
        <f>$B$21*$B$24/(1+A37)^$B$22</f>
        <v/>
      </c>
      <c r="F37" s="81">
        <f>IF(E37&gt;=10,"impossible",ROUNDUP(E37+0.01,1))</f>
        <v/>
      </c>
      <c r="G37" s="81">
        <f>ROUNDUP($B$26/E37,0)</f>
        <v/>
      </c>
    </row>
    <row r="38" ht="15" customHeight="1" s="67">
      <c r="A38" s="81" t="n">
        <v>9</v>
      </c>
      <c r="B38" s="117">
        <f>$B$21*$B$23/(1+A38)^$B$22</f>
        <v/>
      </c>
      <c r="C38" s="81">
        <f>IF(B38&gt;=10,"impossible",ROUNDUP(B38+0.01,1))</f>
        <v/>
      </c>
      <c r="D38" s="81">
        <f>ROUNDUP($B$26/B38,0)</f>
        <v/>
      </c>
      <c r="E38" s="117">
        <f>$B$21*$B$24/(1+A38)^$B$22</f>
        <v/>
      </c>
      <c r="F38" s="81">
        <f>IF(E38&gt;=10,"impossible",ROUNDUP(E38+0.01,1))</f>
        <v/>
      </c>
      <c r="G38" s="81">
        <f>ROUNDUP($B$26/E38,0)</f>
        <v/>
      </c>
    </row>
    <row r="39" ht="15" customHeight="1" s="67">
      <c r="A39" s="81" t="n">
        <v>10</v>
      </c>
      <c r="B39" s="117">
        <f>$B$21*$B$23/(1+A39)^$B$22</f>
        <v/>
      </c>
      <c r="C39" s="81">
        <f>IF(B39&gt;=10,"impossible",ROUNDUP(B39+0.01,1))</f>
        <v/>
      </c>
      <c r="D39" s="81">
        <f>ROUNDUP($B$26/B39,0)</f>
        <v/>
      </c>
      <c r="E39" s="117">
        <f>$B$21*$B$24/(1+A39)^$B$22</f>
        <v/>
      </c>
      <c r="F39" s="81">
        <f>IF(E39&gt;=10,"impossible",ROUNDUP(E39+0.01,1))</f>
        <v/>
      </c>
      <c r="G39" s="81">
        <f>ROUNDUP($B$26/E39,0)</f>
        <v/>
      </c>
    </row>
    <row r="40" ht="15" customHeight="1" s="67">
      <c r="A40" s="81" t="n">
        <v>11</v>
      </c>
      <c r="B40" s="117">
        <f>$B$21*$B$23/(1+A40)^$B$22</f>
        <v/>
      </c>
      <c r="C40" s="81">
        <f>IF(B40&gt;=10,"impossible",ROUNDUP(B40+0.01,1))</f>
        <v/>
      </c>
      <c r="D40" s="81">
        <f>ROUNDUP($B$26/B40,0)</f>
        <v/>
      </c>
      <c r="E40" s="117">
        <f>$B$21*$B$24/(1+A40)^$B$22</f>
        <v/>
      </c>
      <c r="F40" s="81">
        <f>IF(E40&gt;=10,"impossible",ROUNDUP(E40+0.01,1))</f>
        <v/>
      </c>
      <c r="G40" s="81">
        <f>ROUNDUP($B$26/E40,0)</f>
        <v/>
      </c>
    </row>
    <row r="41" ht="15" customHeight="1" s="67">
      <c r="A41" s="81" t="n">
        <v>12</v>
      </c>
      <c r="B41" s="117">
        <f>$B$21*$B$23/(1+A41)^$B$22</f>
        <v/>
      </c>
      <c r="C41" s="81">
        <f>IF(B41&gt;=10,"impossible",ROUNDUP(B41+0.01,1))</f>
        <v/>
      </c>
      <c r="D41" s="81">
        <f>ROUNDUP($B$26/B41,0)</f>
        <v/>
      </c>
      <c r="E41" s="117">
        <f>$B$21*$B$24/(1+A41)^$B$22</f>
        <v/>
      </c>
      <c r="F41" s="81">
        <f>IF(E41&gt;=10,"impossible",ROUNDUP(E41+0.01,1))</f>
        <v/>
      </c>
      <c r="G41" s="81">
        <f>ROUNDUP($B$26/E41,0)</f>
        <v/>
      </c>
    </row>
    <row r="42" ht="15" customHeight="1" s="67">
      <c r="A42" s="99" t="inlineStr">
        <is>
          <t>Sun-like star, same cell:</t>
        </is>
      </c>
      <c r="C42" s="66">
        <f>$B$21*$B$25</f>
        <v/>
      </c>
      <c r="D42" s="66">
        <f>ROUNDUP($B$26/C42,0)</f>
        <v/>
      </c>
      <c r="E42" s="69" t="inlineStr">
        <is>
          <t>← pull, turns until pulled in (should read 7 with the defaults)</t>
        </is>
      </c>
    </row>
  </sheetData>
  <autoFilter ref="A6:I17"/>
  <mergeCells count="3">
    <mergeCell ref="A5:I5"/>
    <mergeCell ref="A20:I20"/>
    <mergeCell ref="A19:I19"/>
  </mergeCells>
  <conditionalFormatting sqref="I7:I17">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dataValidations count="1">
    <dataValidation sqref="I7:I17"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548235"/>
    <outlinePr summaryBelow="1" summaryRight="1"/>
    <pageSetUpPr fitToPage="1"/>
  </sheetPr>
  <dimension ref="A1:H5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0" customWidth="1" style="66" min="2" max="2"/>
    <col width="18" customWidth="1" style="66" min="3" max="3"/>
    <col width="40" customWidth="1" style="66" min="4" max="4"/>
    <col width="36" customWidth="1" style="66" min="5" max="5"/>
    <col width="10" customWidth="1" style="66" min="6" max="6"/>
    <col width="14" customWidth="1" style="66" min="7" max="7"/>
    <col width="13" customWidth="1" style="66" min="8" max="8"/>
  </cols>
  <sheetData>
    <row r="1" ht="17.35" customHeight="1" s="67">
      <c r="A1" s="68" t="inlineStr">
        <is>
          <t>9 · Ships</t>
        </is>
      </c>
    </row>
    <row r="2" ht="15" customHeight="1" s="67">
      <c r="A2" s="69" t="inlineStr">
        <is>
          <t>Ship class, movement rules with the warp curve calculator, ship classes</t>
        </is>
      </c>
    </row>
    <row r="3" ht="15" customHeight="1" s="67">
      <c r="A3" s="70">
        <f>HYPERLINK("#'0 Index'!A1","↩ Index")</f>
        <v/>
      </c>
    </row>
    <row r="5" ht="15" customHeight="1" s="67">
      <c r="A5" s="118" t="inlineStr">
        <is>
          <t>Ship class — Ships = {torpedos, phasers, shield_power, engine_power, warpcore_power, captain}</t>
        </is>
      </c>
    </row>
    <row r="6" ht="15" customHeight="1" s="67">
      <c r="A6" s="119" t="inlineStr">
        <is>
          <t>ID</t>
        </is>
      </c>
      <c r="B6" s="119" t="inlineStr">
        <is>
          <t>Attribute</t>
        </is>
      </c>
      <c r="C6" s="119" t="inlineStr">
        <is>
          <t>Type</t>
        </is>
      </c>
      <c r="D6" s="119" t="inlineStr">
        <is>
          <t>Range / meaning</t>
        </is>
      </c>
      <c r="E6" s="119" t="inlineStr">
        <is>
          <t>Notes</t>
        </is>
      </c>
      <c r="F6" s="119" t="inlineStr">
        <is>
          <t>Open Q</t>
        </is>
      </c>
      <c r="G6" s="119" t="inlineStr">
        <is>
          <t>Origin</t>
        </is>
      </c>
      <c r="H6" s="119" t="inlineStr">
        <is>
          <t>Status</t>
        </is>
      </c>
    </row>
    <row r="7" ht="15" customHeight="1" s="67">
      <c r="A7" s="74" t="inlineStr">
        <is>
          <t>SH-01</t>
        </is>
      </c>
      <c r="B7" s="74" t="inlineStr">
        <is>
          <t>torpedos</t>
        </is>
      </c>
      <c r="C7" s="74" t="inlineStr">
        <is>
          <t>int (ammo count)</t>
        </is>
      </c>
      <c r="D7" s="74" t="inlineStr">
        <is>
          <t>0 … ∞; each hit does torpedo_damage (25)</t>
        </is>
      </c>
      <c r="E7" s="74" t="inlineStr">
        <is>
          <t>Bought from planets or looted.</t>
        </is>
      </c>
      <c r="F7" s="74" t="inlineStr">
        <is>
          <t>Q-12</t>
        </is>
      </c>
      <c r="G7" s="74" t="inlineStr">
        <is>
          <t>BP r75; Claude</t>
        </is>
      </c>
      <c r="H7" s="74" t="inlineStr">
        <is>
          <t>Proposed</t>
        </is>
      </c>
    </row>
    <row r="8" ht="35.05" customHeight="1" s="67">
      <c r="A8" s="74" t="inlineStr">
        <is>
          <t>SH-02</t>
        </is>
      </c>
      <c r="B8" s="74" t="inlineStr">
        <is>
          <t>phasers</t>
        </is>
      </c>
      <c r="C8" s="74" t="inlineStr">
        <is>
          <t>float 0–10</t>
        </is>
      </c>
      <c r="D8" s="74" t="inlineStr">
        <is>
          <t>Damage per exchange = phasers × phaser_damage_per_unit (5), falling with distance</t>
        </is>
      </c>
      <c r="E8" s="74" t="inlineStr">
        <is>
          <t>Never runs out.</t>
        </is>
      </c>
      <c r="F8" s="74" t="inlineStr">
        <is>
          <t>Q-12</t>
        </is>
      </c>
      <c r="G8" s="74" t="inlineStr">
        <is>
          <t>BP r75; Claude</t>
        </is>
      </c>
      <c r="H8" s="74" t="inlineStr">
        <is>
          <t>Proposed</t>
        </is>
      </c>
    </row>
    <row r="9" ht="35.05" customHeight="1" s="67">
      <c r="A9" s="74" t="inlineStr">
        <is>
          <t>SH-03</t>
        </is>
      </c>
      <c r="B9" s="74" t="inlineStr">
        <is>
          <t>shield_max / shield_current</t>
        </is>
      </c>
      <c r="C9" s="74" t="inlineStr">
        <is>
          <t>float 0–100</t>
        </is>
      </c>
      <c r="D9" s="74" t="inlineStr">
        <is>
          <t>Current absorbs all damage; at 0 the next hit destroys the ship. Recharges shield_recharge (5) per turn outside hazards and battle.</t>
        </is>
      </c>
      <c r="E9" s="74" t="inlineStr">
        <is>
          <t>shield_max is what upgrades raise; not looted (CB-01).</t>
        </is>
      </c>
      <c r="F9" s="74" t="inlineStr">
        <is>
          <t>Q-03, Q-12</t>
        </is>
      </c>
      <c r="G9" s="74" t="inlineStr">
        <is>
          <t>BP r75, r68, r106; Ans Q-03; Claude</t>
        </is>
      </c>
      <c r="H9" s="74" t="inlineStr">
        <is>
          <t>Proposed</t>
        </is>
      </c>
    </row>
    <row r="10" ht="23.85" customHeight="1" s="67">
      <c r="A10" s="74" t="inlineStr">
        <is>
          <t>SH-04</t>
        </is>
      </c>
      <c r="B10" s="74" t="inlineStr">
        <is>
          <t>engine_power</t>
        </is>
      </c>
      <c r="C10" s="74" t="inlineStr">
        <is>
          <t>float 0–10</t>
        </is>
      </c>
      <c r="D10" s="74" t="inlineStr">
        <is>
          <t>Max impulse speed; cells per turn = floor(speed − pull).</t>
        </is>
      </c>
      <c r="E10" s="74" t="n"/>
      <c r="F10" s="74" t="inlineStr">
        <is>
          <t>Q-02</t>
        </is>
      </c>
      <c r="G10" s="74" t="inlineStr">
        <is>
          <t>BP r76; Ans Q-02</t>
        </is>
      </c>
      <c r="H10" s="74" t="inlineStr">
        <is>
          <t>Agreed</t>
        </is>
      </c>
    </row>
    <row r="11" ht="23.85" customHeight="1" s="67">
      <c r="A11" s="74" t="inlineStr">
        <is>
          <t>SH-05</t>
        </is>
      </c>
      <c r="B11" s="74" t="inlineStr">
        <is>
          <t>warpcore_power</t>
        </is>
      </c>
      <c r="C11" s="74" t="inlineStr">
        <is>
          <t>float 0–10</t>
        </is>
      </c>
      <c r="D11" s="74" t="inlineStr">
        <is>
          <t>Max warp factor; reach from the warp curve below; 10 = anywhere in one turn.</t>
        </is>
      </c>
      <c r="E11" s="74" t="n"/>
      <c r="F11" s="74" t="inlineStr">
        <is>
          <t>Q-02</t>
        </is>
      </c>
      <c r="G11" s="74" t="inlineStr">
        <is>
          <t>BP r77; Ans Q-02</t>
        </is>
      </c>
      <c r="H11" s="74" t="inlineStr">
        <is>
          <t>Agreed</t>
        </is>
      </c>
    </row>
    <row r="12" ht="15" customHeight="1" s="67">
      <c r="A12" s="74" t="inlineStr">
        <is>
          <t>SH-06</t>
        </is>
      </c>
      <c r="B12" s="74" t="inlineStr">
        <is>
          <t>captain</t>
        </is>
      </c>
      <c r="C12" s="74" t="inlineStr">
        <is>
          <t>Captain</t>
        </is>
      </c>
      <c r="D12" s="74" t="inlineStr">
        <is>
          <t>The owning captain (10 Captain).</t>
        </is>
      </c>
      <c r="E12" s="74" t="n"/>
      <c r="F12" s="74" t="n"/>
      <c r="G12" s="74" t="inlineStr">
        <is>
          <t>BP r75</t>
        </is>
      </c>
      <c r="H12" s="74" t="inlineStr">
        <is>
          <t>Agreed</t>
        </is>
      </c>
    </row>
    <row r="13" ht="15" customHeight="1" s="67">
      <c r="A13" s="74" t="inlineStr">
        <is>
          <t>SH-07</t>
        </is>
      </c>
      <c r="B13" s="74" t="inlineStr">
        <is>
          <t>hull</t>
        </is>
      </c>
      <c r="C13" s="74" t="inlineStr">
        <is>
          <t>— (none)</t>
        </is>
      </c>
      <c r="D13" s="74" t="inlineStr">
        <is>
          <t>No hull stat: shields are the ship's health (Q-03).</t>
        </is>
      </c>
      <c r="E13" s="74" t="n"/>
      <c r="F13" s="74" t="inlineStr">
        <is>
          <t>Q-03</t>
        </is>
      </c>
      <c r="G13" s="74" t="inlineStr">
        <is>
          <t>Ans Q-03</t>
        </is>
      </c>
      <c r="H13" s="74" t="inlineStr">
        <is>
          <t>Agreed</t>
        </is>
      </c>
    </row>
    <row r="14" ht="15" customHeight="1" s="67">
      <c r="A14" s="74" t="inlineStr">
        <is>
          <t>SH-08</t>
        </is>
      </c>
      <c r="B14" s="74" t="inlineStr">
        <is>
          <t>name, class</t>
        </is>
      </c>
      <c r="C14" s="74" t="inlineStr">
        <is>
          <t>str</t>
        </is>
      </c>
      <c r="D14" s="74" t="inlineStr">
        <is>
          <t>Original names; class from the table below.</t>
        </is>
      </c>
      <c r="E14" s="74" t="n"/>
      <c r="F14" s="74" t="n"/>
      <c r="G14" s="74" t="inlineStr">
        <is>
          <t>Template</t>
        </is>
      </c>
      <c r="H14" s="74" t="inlineStr">
        <is>
          <t>Needs detail</t>
        </is>
      </c>
    </row>
    <row r="15" ht="23.85" customHeight="1" s="67">
      <c r="A15" s="74" t="inlineStr">
        <is>
          <t>SH-09</t>
        </is>
      </c>
      <c r="B15" s="74" t="inlineStr">
        <is>
          <t>position</t>
        </is>
      </c>
      <c r="C15" s="74" t="inlineStr">
        <is>
          <t>(galaxy xy, sector xy, cell xy)</t>
        </is>
      </c>
      <c r="D15" s="74" t="n"/>
      <c r="E15" s="74" t="n"/>
      <c r="F15" s="74" t="n"/>
      <c r="G15" s="74" t="inlineStr">
        <is>
          <t>Implied r8</t>
        </is>
      </c>
      <c r="H15" s="74" t="inlineStr">
        <is>
          <t>Agreed</t>
        </is>
      </c>
    </row>
    <row r="16" ht="23.85" customHeight="1" s="67">
      <c r="A16" s="74" t="inlineStr">
        <is>
          <t>SH-10</t>
        </is>
      </c>
      <c r="B16" s="74" t="inlineStr">
        <is>
          <t>cargo</t>
        </is>
      </c>
      <c r="C16" s="74" t="inlineStr">
        <is>
          <t>— (captain-level)</t>
        </is>
      </c>
      <c r="D16" s="74" t="inlineStr">
        <is>
          <t>Items belong to the captain, not the ship; no cargo limit.</t>
        </is>
      </c>
      <c r="E16" s="74" t="n"/>
      <c r="F16" s="74" t="inlineStr">
        <is>
          <t>Q-14</t>
        </is>
      </c>
      <c r="G16" s="74" t="inlineStr">
        <is>
          <t>Ans Q-14</t>
        </is>
      </c>
      <c r="H16" s="74" t="inlineStr">
        <is>
          <t>Agreed</t>
        </is>
      </c>
    </row>
    <row r="17" ht="15" customHeight="1" s="67">
      <c r="A17" s="74" t="n"/>
      <c r="B17" s="74" t="n"/>
      <c r="C17" s="74" t="n"/>
      <c r="D17" s="74" t="n"/>
      <c r="E17" s="74" t="n"/>
      <c r="F17" s="74" t="n"/>
      <c r="G17" s="74" t="n"/>
      <c r="H17" s="74" t="n"/>
    </row>
    <row r="19" ht="15" customHeight="1" s="67">
      <c r="A19" s="118" t="inlineStr">
        <is>
          <t>Movement</t>
        </is>
      </c>
    </row>
    <row r="20" ht="23.85" customHeight="1" s="67">
      <c r="A20" s="119" t="inlineStr">
        <is>
          <t>ID</t>
        </is>
      </c>
      <c r="B20" s="119" t="inlineStr">
        <is>
          <t>Mode</t>
        </is>
      </c>
      <c r="C20" s="119" t="inlineStr">
        <is>
          <t>Speed → distance per turn</t>
        </is>
      </c>
      <c r="D20" s="119" t="inlineStr">
        <is>
          <t>Range limit</t>
        </is>
      </c>
      <c r="E20" s="119" t="inlineStr">
        <is>
          <t>Notes</t>
        </is>
      </c>
      <c r="F20" s="119" t="inlineStr">
        <is>
          <t>Open Q</t>
        </is>
      </c>
      <c r="G20" s="119" t="inlineStr">
        <is>
          <t>Origin</t>
        </is>
      </c>
      <c r="H20" s="119" t="inlineStr">
        <is>
          <t>Status</t>
        </is>
      </c>
    </row>
    <row r="21" ht="46.25" customHeight="1" s="67">
      <c r="A21" s="74" t="inlineStr">
        <is>
          <t>MV-01</t>
        </is>
      </c>
      <c r="B21" s="74" t="inlineStr">
        <is>
          <t>Impulse</t>
        </is>
      </c>
      <c r="C21" s="74" t="inlineStr">
        <is>
          <t>cells = floor(speed − pull); speed 1 → 1 cell, 2 → 2 cells; 2.5 → 2 cells.</t>
        </is>
      </c>
      <c r="D21" s="74" t="inlineStr">
        <is>
          <t>Within the sector</t>
        </is>
      </c>
      <c r="E21" s="74" t="inlineStr">
        <is>
          <t>Fractional engine power only matters against pull.</t>
        </is>
      </c>
      <c r="F21" s="74" t="inlineStr">
        <is>
          <t>Q-02</t>
        </is>
      </c>
      <c r="G21" s="74" t="inlineStr">
        <is>
          <t>Ans Q-02; Chat A9</t>
        </is>
      </c>
      <c r="H21" s="74" t="inlineStr">
        <is>
          <t>Agreed</t>
        </is>
      </c>
    </row>
    <row r="22" ht="79.84999999999999" customHeight="1" s="67">
      <c r="A22" s="74" t="inlineStr">
        <is>
          <t>MV-02</t>
        </is>
      </c>
      <c r="B22" s="74" t="inlineStr">
        <is>
          <t>Warp</t>
        </is>
      </c>
      <c r="C22" s="74" t="inlineStr">
        <is>
          <t>reach (sectors) = w × B^((w/10)^p); w = 10 → anywhere. B = 16, p = 4 give: 1 → 1.0, 2 → 2.0, 5 → 5.9, 8 → 25, 9 → 55, 9.9 → 142, 9.99999 → 160.</t>
        </is>
      </c>
      <c r="D22" s="74" t="inlineStr">
        <is>
          <t>Universe diameter ≈ 8 × 16 × √2 ≈ 181 sectors with the proposed sizes — so 9.99999 is fast but not everywhere.</t>
        </is>
      </c>
      <c r="E22" s="74" t="inlineStr">
        <is>
          <t>Distance between sectors in different galaxies = Chebyshev distance on the flattened sector grid.</t>
        </is>
      </c>
      <c r="F22" s="74" t="inlineStr">
        <is>
          <t>Q-02</t>
        </is>
      </c>
      <c r="G22" s="74" t="inlineStr">
        <is>
          <t>Ans Q-02; Claude</t>
        </is>
      </c>
      <c r="H22" s="74" t="inlineStr">
        <is>
          <t>Proposed</t>
        </is>
      </c>
    </row>
    <row r="23" ht="46.25" customHeight="1" s="67">
      <c r="A23" s="74" t="inlineStr">
        <is>
          <t>MV-03</t>
        </is>
      </c>
      <c r="B23" s="74" t="inlineStr">
        <is>
          <t>Pull vs warp</t>
        </is>
      </c>
      <c r="C23" s="74" t="inlineStr">
        <is>
          <t>effective factor = w − pull at the departure cell; if ≤ 0 the warp fails.</t>
        </is>
      </c>
      <c r="D23" s="74" t="n"/>
      <c r="E23" s="74" t="n"/>
      <c r="F23" s="74" t="inlineStr">
        <is>
          <t>Q-02</t>
        </is>
      </c>
      <c r="G23" s="74" t="inlineStr">
        <is>
          <t>Claude</t>
        </is>
      </c>
      <c r="H23" s="74" t="inlineStr">
        <is>
          <t>Proposed</t>
        </is>
      </c>
    </row>
    <row r="24" ht="46.25" customHeight="1" s="67">
      <c r="A24" s="74" t="inlineStr">
        <is>
          <t>MV-04</t>
        </is>
      </c>
      <c r="B24" s="74" t="inlineStr">
        <is>
          <t>Cost</t>
        </is>
      </c>
      <c r="C24" s="74" t="inlineStr">
        <is>
          <t>Moving costs nothing except food and water upkeep each turn.</t>
        </is>
      </c>
      <c r="D24" s="74" t="n"/>
      <c r="E24" s="74" t="n"/>
      <c r="F24" s="74" t="inlineStr">
        <is>
          <t>Q-19</t>
        </is>
      </c>
      <c r="G24" s="74" t="inlineStr">
        <is>
          <t>Claude</t>
        </is>
      </c>
      <c r="H24" s="74" t="inlineStr">
        <is>
          <t>Proposed</t>
        </is>
      </c>
    </row>
    <row r="25" ht="23.85" customHeight="1" s="67">
      <c r="A25" s="74" t="inlineStr">
        <is>
          <t>MV-05</t>
        </is>
      </c>
      <c r="B25" s="74" t="inlineStr">
        <is>
          <t>Arrival cell after warp</t>
        </is>
      </c>
      <c r="C25" s="74" t="inlineStr">
        <is>
          <t>Nearest free cell to the sector centre.</t>
        </is>
      </c>
      <c r="D25" s="74" t="n"/>
      <c r="E25" s="74" t="n"/>
      <c r="F25" s="74" t="inlineStr">
        <is>
          <t>Q-02</t>
        </is>
      </c>
      <c r="G25" s="74" t="inlineStr">
        <is>
          <t>Claude</t>
        </is>
      </c>
      <c r="H25" s="74" t="inlineStr">
        <is>
          <t>Proposed</t>
        </is>
      </c>
    </row>
    <row r="26" ht="57.45" customHeight="1" s="67">
      <c r="A26" s="74" t="inlineStr">
        <is>
          <t>MV-06</t>
        </is>
      </c>
      <c r="B26" s="74" t="inlineStr">
        <is>
          <t>Fleet movement</t>
        </is>
      </c>
      <c r="C26" s="74" t="inlineStr">
        <is>
          <t>Owned ships in the same cell as the active ship move with it; others hold position.</t>
        </is>
      </c>
      <c r="D26" s="74" t="n"/>
      <c r="E26" s="74" t="n"/>
      <c r="F26" s="74" t="inlineStr">
        <is>
          <t>Q-13</t>
        </is>
      </c>
      <c r="G26" s="74" t="inlineStr">
        <is>
          <t>Claude</t>
        </is>
      </c>
      <c r="H26" s="74" t="inlineStr">
        <is>
          <t>Proposed</t>
        </is>
      </c>
    </row>
    <row r="27" ht="15" customHeight="1" s="67">
      <c r="A27" s="74" t="n"/>
      <c r="B27" s="74" t="n"/>
      <c r="C27" s="74" t="n"/>
      <c r="D27" s="74" t="n"/>
      <c r="E27" s="74" t="n"/>
      <c r="F27" s="74" t="n"/>
      <c r="G27" s="74" t="n"/>
      <c r="H27" s="74" t="n"/>
    </row>
    <row r="29" ht="15" customHeight="1" s="67">
      <c r="A29" s="118" t="inlineStr">
        <is>
          <t>Warp curve calculator — change B and p (yellow) and the reach column recomputes</t>
        </is>
      </c>
    </row>
    <row r="30" ht="15" customHeight="1" s="67">
      <c r="A30" s="77" t="inlineStr">
        <is>
          <t>B and p are placeholders; tune in playtest.</t>
        </is>
      </c>
    </row>
    <row r="31" ht="15" customHeight="1" s="67">
      <c r="A31" s="99" t="inlineStr">
        <is>
          <t>B</t>
        </is>
      </c>
      <c r="B31" s="112" t="n">
        <v>16</v>
      </c>
      <c r="C31" s="69" t="inlineStr">
        <is>
          <t>[movement] warp_curve_base</t>
        </is>
      </c>
    </row>
    <row r="32" ht="15" customHeight="1" s="67">
      <c r="A32" s="99" t="inlineStr">
        <is>
          <t>p</t>
        </is>
      </c>
      <c r="B32" s="112" t="n">
        <v>4</v>
      </c>
      <c r="C32" s="69" t="inlineStr">
        <is>
          <t>[movement] warp_curve_exponent</t>
        </is>
      </c>
    </row>
    <row r="34" ht="15" customHeight="1" s="67">
      <c r="A34" s="120" t="inlineStr">
        <is>
          <t>warp factor</t>
        </is>
      </c>
      <c r="B34" s="120" t="inlineStr">
        <is>
          <t>reach (sectors)</t>
        </is>
      </c>
      <c r="C34" s="120" t="inlineStr">
        <is>
          <t>note</t>
        </is>
      </c>
    </row>
    <row r="35" ht="15" customHeight="1" s="67">
      <c r="A35" s="112" t="n">
        <v>1</v>
      </c>
      <c r="B35" s="115">
        <f>IF(A35&gt;=10,"anywhere",A35*$B$31^((A35/10)^$B$32))</f>
        <v/>
      </c>
      <c r="C35" s="81" t="n"/>
    </row>
    <row r="36" ht="15" customHeight="1" s="67">
      <c r="A36" s="112" t="n">
        <v>2</v>
      </c>
      <c r="B36" s="115">
        <f>IF(A36&gt;=10,"anywhere",A36*$B$31^((A36/10)^$B$32))</f>
        <v/>
      </c>
      <c r="C36" s="81" t="n"/>
    </row>
    <row r="37" ht="15" customHeight="1" s="67">
      <c r="A37" s="112" t="n">
        <v>3</v>
      </c>
      <c r="B37" s="115">
        <f>IF(A37&gt;=10,"anywhere",A37*$B$31^((A37/10)^$B$32))</f>
        <v/>
      </c>
      <c r="C37" s="81" t="n"/>
    </row>
    <row r="38" ht="15" customHeight="1" s="67">
      <c r="A38" s="112" t="n">
        <v>4</v>
      </c>
      <c r="B38" s="115">
        <f>IF(A38&gt;=10,"anywhere",A38*$B$31^((A38/10)^$B$32))</f>
        <v/>
      </c>
      <c r="C38" s="81" t="n"/>
    </row>
    <row r="39" ht="15" customHeight="1" s="67">
      <c r="A39" s="112" t="n">
        <v>5</v>
      </c>
      <c r="B39" s="115">
        <f>IF(A39&gt;=10,"anywhere",A39*$B$31^((A39/10)^$B$32))</f>
        <v/>
      </c>
      <c r="C39" s="81" t="n"/>
    </row>
    <row r="40" ht="15" customHeight="1" s="67">
      <c r="A40" s="112" t="n">
        <v>6</v>
      </c>
      <c r="B40" s="115">
        <f>IF(A40&gt;=10,"anywhere",A40*$B$31^((A40/10)^$B$32))</f>
        <v/>
      </c>
      <c r="C40" s="81" t="n"/>
    </row>
    <row r="41" ht="15" customHeight="1" s="67">
      <c r="A41" s="112" t="n">
        <v>7</v>
      </c>
      <c r="B41" s="115">
        <f>IF(A41&gt;=10,"anywhere",A41*$B$31^((A41/10)^$B$32))</f>
        <v/>
      </c>
      <c r="C41" s="81" t="n"/>
    </row>
    <row r="42" ht="15" customHeight="1" s="67">
      <c r="A42" s="112" t="n">
        <v>8</v>
      </c>
      <c r="B42" s="115">
        <f>IF(A42&gt;=10,"anywhere",A42*$B$31^((A42/10)^$B$32))</f>
        <v/>
      </c>
      <c r="C42" s="81" t="n"/>
    </row>
    <row r="43" ht="15" customHeight="1" s="67">
      <c r="A43" s="112" t="n">
        <v>9</v>
      </c>
      <c r="B43" s="115">
        <f>IF(A43&gt;=10,"anywhere",A43*$B$31^((A43/10)^$B$32))</f>
        <v/>
      </c>
      <c r="C43" s="81" t="n"/>
    </row>
    <row r="44" ht="15" customHeight="1" s="67">
      <c r="A44" s="112" t="n">
        <v>9.5</v>
      </c>
      <c r="B44" s="115">
        <f>IF(A44&gt;=10,"anywhere",A44*$B$31^((A44/10)^$B$32))</f>
        <v/>
      </c>
      <c r="C44" s="81" t="n"/>
    </row>
    <row r="45" ht="15" customHeight="1" s="67">
      <c r="A45" s="112" t="n">
        <v>9.9</v>
      </c>
      <c r="B45" s="115">
        <f>IF(A45&gt;=10,"anywhere",A45*$B$31^((A45/10)^$B$32))</f>
        <v/>
      </c>
      <c r="C45" s="81" t="n"/>
    </row>
    <row r="46" ht="15" customHeight="1" s="67">
      <c r="A46" s="112" t="n">
        <v>9.99999</v>
      </c>
      <c r="B46" s="115">
        <f>IF(A46&gt;=10,"anywhere",A46*$B$31^((A46/10)^$B$32))</f>
        <v/>
      </c>
      <c r="C46" s="81" t="inlineStr">
        <is>
          <t>universe diameter ≈ 181 sectors at 8 × 16</t>
        </is>
      </c>
    </row>
    <row r="47" ht="15" customHeight="1" s="67">
      <c r="A47" s="112" t="n">
        <v>10</v>
      </c>
      <c r="B47" s="115">
        <f>IF(A47&gt;=10,"anywhere",A47*$B$31^((A47/10)^$B$32))</f>
        <v/>
      </c>
      <c r="C47" s="81" t="n"/>
    </row>
    <row r="49" ht="15" customHeight="1" s="67">
      <c r="A49" s="118" t="inlineStr">
        <is>
          <t>Ship classes</t>
        </is>
      </c>
    </row>
    <row r="50" ht="15" customHeight="1" s="67">
      <c r="A50" s="77" t="inlineStr">
        <is>
          <t>Proposed starting set; names are placeholders for you to replace.</t>
        </is>
      </c>
    </row>
    <row r="51" ht="23.85" customHeight="1" s="67">
      <c r="A51" s="119" t="inlineStr">
        <is>
          <t>ID</t>
        </is>
      </c>
      <c r="B51" s="119" t="inlineStr">
        <is>
          <t>Class name</t>
        </is>
      </c>
      <c r="C51" s="119" t="inlineStr">
        <is>
          <t>Role</t>
        </is>
      </c>
      <c r="D51" s="119" t="inlineStr">
        <is>
          <t>Base stats (torp / phaser / shield / engine / warp)</t>
        </is>
      </c>
      <c r="E51" s="119" t="inlineStr">
        <is>
          <t>Notes</t>
        </is>
      </c>
      <c r="F51" s="119" t="inlineStr">
        <is>
          <t>Open Q</t>
        </is>
      </c>
      <c r="G51" s="119" t="inlineStr">
        <is>
          <t>Origin</t>
        </is>
      </c>
      <c r="H51" s="119" t="inlineStr">
        <is>
          <t>Status</t>
        </is>
      </c>
    </row>
    <row r="52" ht="15" customHeight="1" s="67">
      <c r="A52" s="74" t="inlineStr">
        <is>
          <t>CLS-01</t>
        </is>
      </c>
      <c r="B52" s="74" t="inlineStr">
        <is>
          <t>Kestrel (starting ship)</t>
        </is>
      </c>
      <c r="C52" s="74" t="inlineStr">
        <is>
          <t>Scout / trader</t>
        </is>
      </c>
      <c r="D52" s="74" t="inlineStr">
        <is>
          <t>6 / 3 / 60 / 4 / 3</t>
        </is>
      </c>
      <c r="E52" s="74" t="inlineStr">
        <is>
          <t>Weak but fast enough to escape</t>
        </is>
      </c>
      <c r="F52" s="74" t="n"/>
      <c r="G52" s="74" t="inlineStr">
        <is>
          <t>Claude</t>
        </is>
      </c>
      <c r="H52" s="74" t="inlineStr">
        <is>
          <t>Proposed</t>
        </is>
      </c>
    </row>
    <row r="53" ht="15" customHeight="1" s="67">
      <c r="A53" s="74" t="inlineStr">
        <is>
          <t>CLS-02</t>
        </is>
      </c>
      <c r="B53" s="74" t="inlineStr">
        <is>
          <t>Corsair</t>
        </is>
      </c>
      <c r="C53" s="74" t="inlineStr">
        <is>
          <t>Raider</t>
        </is>
      </c>
      <c r="D53" s="74" t="inlineStr">
        <is>
          <t>12 / 5 / 80 / 6 / 5</t>
        </is>
      </c>
      <c r="E53" s="74" t="inlineStr">
        <is>
          <t>AI captains' usual ship</t>
        </is>
      </c>
      <c r="F53" s="74" t="n"/>
      <c r="G53" s="74" t="inlineStr">
        <is>
          <t>Claude</t>
        </is>
      </c>
      <c r="H53" s="74" t="inlineStr">
        <is>
          <t>Proposed</t>
        </is>
      </c>
    </row>
    <row r="54" ht="15" customHeight="1" s="67">
      <c r="A54" s="74" t="inlineStr">
        <is>
          <t>CLS-03</t>
        </is>
      </c>
      <c r="B54" s="74" t="inlineStr">
        <is>
          <t>Bastion</t>
        </is>
      </c>
      <c r="C54" s="74" t="inlineStr">
        <is>
          <t>Heavy</t>
        </is>
      </c>
      <c r="D54" s="74" t="inlineStr">
        <is>
          <t>20 / 8 / 100 / 3 / 4</t>
        </is>
      </c>
      <c r="E54" s="74" t="inlineStr">
        <is>
          <t>Guards the ultimate item</t>
        </is>
      </c>
      <c r="F54" s="74" t="inlineStr">
        <is>
          <t>Q-15</t>
        </is>
      </c>
      <c r="G54" s="74" t="inlineStr">
        <is>
          <t>Claude</t>
        </is>
      </c>
      <c r="H54" s="74" t="inlineStr">
        <is>
          <t>Proposed</t>
        </is>
      </c>
    </row>
    <row r="55" ht="15" customHeight="1" s="67">
      <c r="A55" s="74" t="n"/>
      <c r="B55" s="74" t="n"/>
      <c r="C55" s="74" t="n"/>
      <c r="D55" s="74" t="n"/>
      <c r="E55" s="74" t="n"/>
      <c r="F55" s="74" t="n"/>
      <c r="G55" s="74" t="n"/>
      <c r="H55" s="74" t="n"/>
    </row>
    <row r="56" ht="15" customHeight="1" s="67">
      <c r="A56" s="74" t="n"/>
      <c r="B56" s="74" t="n"/>
      <c r="C56" s="74" t="n"/>
      <c r="D56" s="74" t="n"/>
      <c r="E56" s="74" t="n"/>
      <c r="F56" s="74" t="n"/>
      <c r="G56" s="74" t="n"/>
      <c r="H56" s="74" t="n"/>
    </row>
    <row r="57" ht="15" customHeight="1" s="67">
      <c r="A57" s="74" t="n"/>
      <c r="B57" s="74" t="n"/>
      <c r="C57" s="74" t="n"/>
      <c r="D57" s="74" t="n"/>
      <c r="E57" s="74" t="n"/>
      <c r="F57" s="74" t="n"/>
      <c r="G57" s="74" t="n"/>
      <c r="H57" s="74" t="n"/>
    </row>
  </sheetData>
  <autoFilter ref="A6:H17"/>
  <mergeCells count="6">
    <mergeCell ref="A50:H50"/>
    <mergeCell ref="A30:H30"/>
    <mergeCell ref="A29:H29"/>
    <mergeCell ref="A19:H19"/>
    <mergeCell ref="A49:H49"/>
    <mergeCell ref="A5:H5"/>
  </mergeCells>
  <conditionalFormatting sqref="H7:H17">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H21:H27">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H52:H57">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dataValidations count="1">
    <dataValidation sqref="H7:H17 H21:H27 H52:H57"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548235"/>
    <outlinePr summaryBelow="1" summaryRight="1"/>
    <pageSetUpPr fitToPage="1"/>
  </sheetPr>
  <dimension ref="A1:H38"/>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2" customWidth="1" style="66" min="2" max="2"/>
    <col width="18" customWidth="1" style="66" min="3" max="3"/>
    <col width="40" customWidth="1" style="66" min="4" max="4"/>
    <col width="36" customWidth="1" style="66" min="5" max="5"/>
    <col width="10" customWidth="1" style="66" min="6" max="6"/>
    <col width="14" customWidth="1" style="66" min="7" max="7"/>
    <col width="13" customWidth="1" style="66" min="8" max="8"/>
  </cols>
  <sheetData>
    <row r="1" ht="17.35" customHeight="1" s="67">
      <c r="A1" s="68" t="inlineStr">
        <is>
          <t>10 · Captain &amp; fleet</t>
        </is>
      </c>
    </row>
    <row r="2" ht="15" customHeight="1" s="67">
      <c r="A2" s="69" t="inlineStr">
        <is>
          <t>Captain class, fleet rules, endgame eligibility</t>
        </is>
      </c>
    </row>
    <row r="3" ht="15" customHeight="1" s="67">
      <c r="A3" s="70">
        <f>HYPERLINK("#'0 Index'!A1","↩ Index")</f>
        <v/>
      </c>
    </row>
    <row r="5" ht="15" customHeight="1" s="67">
      <c r="A5" s="118" t="inlineStr">
        <is>
          <t>Captain class — Captain = {name, gold_coins, silver_coins, items, fear_level, respect_level}</t>
        </is>
      </c>
    </row>
    <row r="6" ht="15" customHeight="1" s="67">
      <c r="A6" s="119" t="inlineStr">
        <is>
          <t>ID</t>
        </is>
      </c>
      <c r="B6" s="119" t="inlineStr">
        <is>
          <t>Attribute</t>
        </is>
      </c>
      <c r="C6" s="119" t="inlineStr">
        <is>
          <t>Type</t>
        </is>
      </c>
      <c r="D6" s="119" t="inlineStr">
        <is>
          <t>Range / meaning</t>
        </is>
      </c>
      <c r="E6" s="119" t="inlineStr">
        <is>
          <t>Notes</t>
        </is>
      </c>
      <c r="F6" s="119" t="inlineStr">
        <is>
          <t>Open Q</t>
        </is>
      </c>
      <c r="G6" s="119" t="inlineStr">
        <is>
          <t>Origin</t>
        </is>
      </c>
      <c r="H6" s="119" t="inlineStr">
        <is>
          <t>Status</t>
        </is>
      </c>
    </row>
    <row r="7" ht="15" customHeight="1" s="67">
      <c r="A7" s="74" t="inlineStr">
        <is>
          <t>CP-01</t>
        </is>
      </c>
      <c r="B7" s="74" t="inlineStr">
        <is>
          <t>name</t>
        </is>
      </c>
      <c r="C7" s="74" t="inlineStr">
        <is>
          <t>str</t>
        </is>
      </c>
      <c r="D7" s="74" t="n"/>
      <c r="E7" s="74" t="n"/>
      <c r="F7" s="74" t="n"/>
      <c r="G7" s="74" t="inlineStr">
        <is>
          <t>BP r80</t>
        </is>
      </c>
      <c r="H7" s="74" t="inlineStr">
        <is>
          <t>Agreed</t>
        </is>
      </c>
    </row>
    <row r="8" ht="23.85" customHeight="1" s="67">
      <c r="A8" s="74" t="inlineStr">
        <is>
          <t>CP-02</t>
        </is>
      </c>
      <c r="B8" s="74" t="inlineStr">
        <is>
          <t>gold_coins</t>
        </is>
      </c>
      <c r="C8" s="74" t="inlineStr">
        <is>
          <t>int</t>
        </is>
      </c>
      <c r="D8" s="74" t="inlineStr">
        <is>
          <t>Start: 5</t>
        </is>
      </c>
      <c r="E8" s="74" t="inlineStr">
        <is>
          <t>1 gold = 20 silver.</t>
        </is>
      </c>
      <c r="F8" s="74" t="inlineStr">
        <is>
          <t>Q-14</t>
        </is>
      </c>
      <c r="G8" s="74" t="inlineStr">
        <is>
          <t>BP r80; Ans Q-14; Claude</t>
        </is>
      </c>
      <c r="H8" s="74" t="inlineStr">
        <is>
          <t>Proposed</t>
        </is>
      </c>
    </row>
    <row r="9" ht="15" customHeight="1" s="67">
      <c r="A9" s="74" t="inlineStr">
        <is>
          <t>CP-03</t>
        </is>
      </c>
      <c r="B9" s="74" t="inlineStr">
        <is>
          <t>silver_coins</t>
        </is>
      </c>
      <c r="C9" s="74" t="inlineStr">
        <is>
          <t>int</t>
        </is>
      </c>
      <c r="D9" s="74" t="inlineStr">
        <is>
          <t>Start: 50</t>
        </is>
      </c>
      <c r="E9" s="74" t="n"/>
      <c r="F9" s="74" t="inlineStr">
        <is>
          <t>Q-14</t>
        </is>
      </c>
      <c r="G9" s="74" t="inlineStr">
        <is>
          <t>BP r80; Claude</t>
        </is>
      </c>
      <c r="H9" s="74" t="inlineStr">
        <is>
          <t>Proposed</t>
        </is>
      </c>
    </row>
    <row r="10" ht="23.85" customHeight="1" s="67">
      <c r="A10" s="74" t="inlineStr">
        <is>
          <t>CP-04</t>
        </is>
      </c>
      <c r="B10" s="74" t="inlineStr">
        <is>
          <t>items</t>
        </is>
      </c>
      <c r="C10" s="74" t="inlineStr">
        <is>
          <t>List[Item]</t>
        </is>
      </c>
      <c r="D10" s="74" t="n"/>
      <c r="E10" s="74" t="inlineStr">
        <is>
          <t>Items belong to the captain, shared across the fleet.</t>
        </is>
      </c>
      <c r="F10" s="74" t="inlineStr">
        <is>
          <t>Q-14</t>
        </is>
      </c>
      <c r="G10" s="74" t="inlineStr">
        <is>
          <t>BP r80; Ans Q-14</t>
        </is>
      </c>
      <c r="H10" s="74" t="inlineStr">
        <is>
          <t>Agreed</t>
        </is>
      </c>
    </row>
    <row r="11" ht="23.85" customHeight="1" s="67">
      <c r="A11" s="74" t="inlineStr">
        <is>
          <t>CP-05</t>
        </is>
      </c>
      <c r="B11" s="74" t="inlineStr">
        <is>
          <t>fear_level</t>
        </is>
      </c>
      <c r="C11" s="74" t="inlineStr">
        <is>
          <t>int 0–100</t>
        </is>
      </c>
      <c r="D11" s="74" t="inlineStr">
        <is>
          <t>Start: 10</t>
        </is>
      </c>
      <c r="E11" s="74" t="n"/>
      <c r="F11" s="74" t="inlineStr">
        <is>
          <t>Q-15</t>
        </is>
      </c>
      <c r="G11" s="74" t="inlineStr">
        <is>
          <t>BP r80; Ans Q-15</t>
        </is>
      </c>
      <c r="H11" s="74" t="inlineStr">
        <is>
          <t>Agreed</t>
        </is>
      </c>
    </row>
    <row r="12" ht="23.85" customHeight="1" s="67">
      <c r="A12" s="74" t="inlineStr">
        <is>
          <t>CP-06</t>
        </is>
      </c>
      <c r="B12" s="74" t="inlineStr">
        <is>
          <t>respect_level</t>
        </is>
      </c>
      <c r="C12" s="74" t="inlineStr">
        <is>
          <t>int 0–100</t>
        </is>
      </c>
      <c r="D12" s="74" t="inlineStr">
        <is>
          <t>Start: 10</t>
        </is>
      </c>
      <c r="E12" s="74" t="n"/>
      <c r="F12" s="74" t="inlineStr">
        <is>
          <t>Q-15</t>
        </is>
      </c>
      <c r="G12" s="74" t="inlineStr">
        <is>
          <t>BP r80; Ans Q-15</t>
        </is>
      </c>
      <c r="H12" s="74" t="inlineStr">
        <is>
          <t>Agreed</t>
        </is>
      </c>
    </row>
    <row r="13" ht="23.85" customHeight="1" s="67">
      <c r="A13" s="74" t="inlineStr">
        <is>
          <t>CP-07</t>
        </is>
      </c>
      <c r="B13" s="74" t="inlineStr">
        <is>
          <t>food, water</t>
        </is>
      </c>
      <c r="C13" s="74" t="inlineStr">
        <is>
          <t>int</t>
        </is>
      </c>
      <c r="D13" s="74" t="inlineStr">
        <is>
          <t>Start: 30 each; −1 each per turn</t>
        </is>
      </c>
      <c r="E13" s="74" t="inlineStr">
        <is>
          <t>Buy from planets. At 0: mutiny (11 Items, SUP-03).</t>
        </is>
      </c>
      <c r="F13" s="74" t="inlineStr">
        <is>
          <t>Q-19</t>
        </is>
      </c>
      <c r="G13" s="74" t="inlineStr">
        <is>
          <t>Ans Q-19; Chat A11</t>
        </is>
      </c>
      <c r="H13" s="74" t="inlineStr">
        <is>
          <t>Proposed</t>
        </is>
      </c>
    </row>
    <row r="14" ht="15" customHeight="1" s="67">
      <c r="A14" s="74" t="inlineStr">
        <is>
          <t>CP-08</t>
        </is>
      </c>
      <c r="B14" s="74" t="inlineStr">
        <is>
          <t>ships / active_ship</t>
        </is>
      </c>
      <c r="C14" s="74" t="inlineStr">
        <is>
          <t>List[Ship] / Ship</t>
        </is>
      </c>
      <c r="D14" s="74" t="inlineStr">
        <is>
          <t>No limit</t>
        </is>
      </c>
      <c r="E14" s="74" t="n"/>
      <c r="F14" s="74" t="inlineStr">
        <is>
          <t>Q-13</t>
        </is>
      </c>
      <c r="G14" s="74" t="inlineStr">
        <is>
          <t>Ans Q-13</t>
        </is>
      </c>
      <c r="H14" s="74" t="inlineStr">
        <is>
          <t>Agreed</t>
        </is>
      </c>
    </row>
    <row r="15" ht="15" customHeight="1" s="67">
      <c r="A15" s="74" t="inlineStr">
        <is>
          <t>CP-09</t>
        </is>
      </c>
      <c r="B15" s="74" t="inlineStr">
        <is>
          <t>is_player</t>
        </is>
      </c>
      <c r="C15" s="74" t="inlineStr">
        <is>
          <t>bool</t>
        </is>
      </c>
      <c r="D15" s="74" t="n"/>
      <c r="E15" s="74" t="inlineStr">
        <is>
          <t>AI captains use the same class.</t>
        </is>
      </c>
      <c r="F15" s="74" t="inlineStr">
        <is>
          <t>Q-13</t>
        </is>
      </c>
      <c r="G15" s="74" t="inlineStr">
        <is>
          <t>Claude</t>
        </is>
      </c>
      <c r="H15" s="74" t="inlineStr">
        <is>
          <t>Proposed</t>
        </is>
      </c>
    </row>
    <row r="16" ht="15" customHeight="1" s="67">
      <c r="A16" s="74" t="inlineStr">
        <is>
          <t>CP-10</t>
        </is>
      </c>
      <c r="B16" s="74" t="inlineStr">
        <is>
          <t>is_master</t>
        </is>
      </c>
      <c r="C16" s="74" t="inlineStr">
        <is>
          <t>bool</t>
        </is>
      </c>
      <c r="D16" s="74" t="inlineStr">
        <is>
          <t>Set when the ultimate item is obtained</t>
        </is>
      </c>
      <c r="E16" s="74" t="n"/>
      <c r="F16" s="74" t="inlineStr">
        <is>
          <t>Q-37</t>
        </is>
      </c>
      <c r="G16" s="74" t="inlineStr">
        <is>
          <t>Ans Q-37</t>
        </is>
      </c>
      <c r="H16" s="74" t="inlineStr">
        <is>
          <t>Agreed</t>
        </is>
      </c>
    </row>
    <row r="17" ht="15" customHeight="1" s="67">
      <c r="A17" s="74" t="n"/>
      <c r="B17" s="74" t="n"/>
      <c r="C17" s="74" t="n"/>
      <c r="D17" s="74" t="n"/>
      <c r="E17" s="74" t="n"/>
      <c r="F17" s="74" t="n"/>
      <c r="G17" s="74" t="n"/>
      <c r="H17" s="74" t="n"/>
    </row>
    <row r="19" ht="15" customHeight="1" s="67">
      <c r="A19" s="118" t="inlineStr">
        <is>
          <t>Fleet rules</t>
        </is>
      </c>
    </row>
    <row r="20" ht="15" customHeight="1" s="67">
      <c r="A20" s="119" t="inlineStr">
        <is>
          <t>ID</t>
        </is>
      </c>
      <c r="B20" s="119" t="inlineStr">
        <is>
          <t>Rule</t>
        </is>
      </c>
      <c r="C20" s="119" t="inlineStr">
        <is>
          <t>Statement</t>
        </is>
      </c>
      <c r="D20" s="119" t="inlineStr">
        <is>
          <t>Notes</t>
        </is>
      </c>
      <c r="E20" s="119" t="inlineStr">
        <is>
          <t>Example</t>
        </is>
      </c>
      <c r="F20" s="119" t="inlineStr">
        <is>
          <t>Open Q</t>
        </is>
      </c>
      <c r="G20" s="119" t="inlineStr">
        <is>
          <t>Origin</t>
        </is>
      </c>
      <c r="H20" s="119" t="inlineStr">
        <is>
          <t>Status</t>
        </is>
      </c>
    </row>
    <row r="21" ht="57.45" customHeight="1" s="67">
      <c r="A21" s="74" t="inlineStr">
        <is>
          <t>FL-01</t>
        </is>
      </c>
      <c r="B21" s="74" t="inlineStr">
        <is>
          <t>Switching</t>
        </is>
      </c>
      <c r="C21" s="74" t="inlineStr">
        <is>
          <t>The command terminal switches the active ship; each ship has its own order queue.</t>
        </is>
      </c>
      <c r="D21" s="74" t="n"/>
      <c r="E21" s="74" t="n"/>
      <c r="F21" s="74" t="inlineStr">
        <is>
          <t>Q-13</t>
        </is>
      </c>
      <c r="G21" s="74" t="inlineStr">
        <is>
          <t>BP r13; Claude</t>
        </is>
      </c>
      <c r="H21" s="74" t="inlineStr">
        <is>
          <t>Proposed</t>
        </is>
      </c>
    </row>
    <row r="22" ht="68.65000000000001" customHeight="1" s="67">
      <c r="A22" s="74" t="inlineStr">
        <is>
          <t>FL-02</t>
        </is>
      </c>
      <c r="B22" s="74" t="inlineStr">
        <is>
          <t>Acquiring ships</t>
        </is>
      </c>
      <c r="C22" s="74" t="inlineStr">
        <is>
          <t>Buy from a planet (price in gold) or capture: a ship whose captain accepts peace at 0 shields surrenders it.</t>
        </is>
      </c>
      <c r="D22" s="74" t="n"/>
      <c r="E22" s="74" t="n"/>
      <c r="F22" s="74" t="inlineStr">
        <is>
          <t>Q-13</t>
        </is>
      </c>
      <c r="G22" s="74" t="inlineStr">
        <is>
          <t>Claude</t>
        </is>
      </c>
      <c r="H22" s="74" t="inlineStr">
        <is>
          <t>Proposed</t>
        </is>
      </c>
    </row>
    <row r="23" ht="46.25" customHeight="1" s="67">
      <c r="A23" s="74" t="inlineStr">
        <is>
          <t>FL-03</t>
        </is>
      </c>
      <c r="B23" s="74" t="inlineStr">
        <is>
          <t>Inactive ships</t>
        </is>
      </c>
      <c r="C23" s="74" t="inlineStr">
        <is>
          <t>Hold position unless in the active ship's cell (then they move with it).</t>
        </is>
      </c>
      <c r="D23" s="74" t="n"/>
      <c r="E23" s="74" t="n"/>
      <c r="F23" s="74" t="inlineStr">
        <is>
          <t>Q-13</t>
        </is>
      </c>
      <c r="G23" s="74" t="inlineStr">
        <is>
          <t>Claude</t>
        </is>
      </c>
      <c r="H23" s="74" t="inlineStr">
        <is>
          <t>Proposed</t>
        </is>
      </c>
    </row>
    <row r="24" ht="68.65000000000001" customHeight="1" s="67">
      <c r="A24" s="74" t="inlineStr">
        <is>
          <t>FL-04</t>
        </is>
      </c>
      <c r="B24" s="74" t="inlineStr">
        <is>
          <t>Game over</t>
        </is>
      </c>
      <c r="C24" s="74" t="inlineStr">
        <is>
          <t>Game over when the player's active ship is destroyed — the captain is on it. Other owned ships do not save the run.</t>
        </is>
      </c>
      <c r="D24" s="74" t="n"/>
      <c r="E24" s="74" t="n"/>
      <c r="F24" s="74" t="inlineStr">
        <is>
          <t>Q-29</t>
        </is>
      </c>
      <c r="G24" s="74" t="inlineStr">
        <is>
          <t>Ans Q-29; Chat A10</t>
        </is>
      </c>
      <c r="H24" s="74" t="inlineStr">
        <is>
          <t>Agreed</t>
        </is>
      </c>
    </row>
    <row r="25" ht="57.45" customHeight="1" s="67">
      <c r="A25" s="74" t="inlineStr">
        <is>
          <t>FL-05</t>
        </is>
      </c>
      <c r="B25" s="74" t="inlineStr">
        <is>
          <t>Fleet in battle</t>
        </is>
      </c>
      <c r="C25" s="74" t="inlineStr">
        <is>
          <t>All ships in range fight under the same rules; strength for fear / respect is the fleet total.</t>
        </is>
      </c>
      <c r="D25" s="74" t="n"/>
      <c r="E25" s="74" t="n"/>
      <c r="F25" s="74" t="inlineStr">
        <is>
          <t>Q-13, Q-22</t>
        </is>
      </c>
      <c r="G25" s="74" t="inlineStr">
        <is>
          <t>Ans Q-13, Q-22</t>
        </is>
      </c>
      <c r="H25" s="74" t="inlineStr">
        <is>
          <t>Agreed</t>
        </is>
      </c>
    </row>
    <row r="26" ht="15" customHeight="1" s="67">
      <c r="A26" s="74" t="n"/>
      <c r="B26" s="74" t="n"/>
      <c r="C26" s="74" t="n"/>
      <c r="D26" s="74" t="n"/>
      <c r="E26" s="74" t="n"/>
      <c r="F26" s="74" t="n"/>
      <c r="G26" s="74" t="n"/>
      <c r="H26" s="74" t="n"/>
    </row>
    <row r="28" ht="15" customHeight="1" s="67">
      <c r="A28" s="118" t="inlineStr">
        <is>
          <t>Endgame eligibility</t>
        </is>
      </c>
    </row>
    <row r="29" ht="15" customHeight="1" s="67">
      <c r="A29" s="119" t="inlineStr">
        <is>
          <t>ID</t>
        </is>
      </c>
      <c r="B29" s="119" t="inlineStr">
        <is>
          <t>Threshold</t>
        </is>
      </c>
      <c r="C29" s="119" t="inlineStr">
        <is>
          <t>Value</t>
        </is>
      </c>
      <c r="D29" s="119" t="inlineStr">
        <is>
          <t>Notes</t>
        </is>
      </c>
      <c r="E29" s="119" t="inlineStr">
        <is>
          <t>Config key</t>
        </is>
      </c>
      <c r="F29" s="119" t="inlineStr">
        <is>
          <t>Open Q</t>
        </is>
      </c>
      <c r="G29" s="119" t="inlineStr">
        <is>
          <t>Origin</t>
        </is>
      </c>
      <c r="H29" s="119" t="inlineStr">
        <is>
          <t>Status</t>
        </is>
      </c>
    </row>
    <row r="30" ht="35.05" customHeight="1" s="67">
      <c r="A30" s="74" t="inlineStr">
        <is>
          <t>EG-01</t>
        </is>
      </c>
      <c r="B30" s="74" t="inlineStr">
        <is>
          <t>Wealth</t>
        </is>
      </c>
      <c r="C30" s="74" t="inlineStr">
        <is>
          <t>≥ 100 gold-equivalent (gold × 20 + silver ≥ 2 000 silver)</t>
        </is>
      </c>
      <c r="D30" s="74" t="inlineStr">
        <is>
          <t>Tuned to ~70–100 turns (Q-35).</t>
        </is>
      </c>
      <c r="E30" s="74" t="inlineStr">
        <is>
          <t>[endgame] wealth_min_silver = 2000</t>
        </is>
      </c>
      <c r="F30" s="74" t="inlineStr">
        <is>
          <t>Q-15</t>
        </is>
      </c>
      <c r="G30" s="74" t="inlineStr">
        <is>
          <t>Ans Q-15; Claude</t>
        </is>
      </c>
      <c r="H30" s="74" t="inlineStr">
        <is>
          <t>Proposed</t>
        </is>
      </c>
    </row>
    <row r="31" ht="15" customHeight="1" s="67">
      <c r="A31" s="74" t="inlineStr">
        <is>
          <t>EG-02</t>
        </is>
      </c>
      <c r="B31" s="74" t="inlineStr">
        <is>
          <t>Respect</t>
        </is>
      </c>
      <c r="C31" s="74" t="inlineStr">
        <is>
          <t>≥ 90</t>
        </is>
      </c>
      <c r="D31" s="74" t="n"/>
      <c r="E31" s="74" t="inlineStr">
        <is>
          <t>[endgame] respect_min = 90</t>
        </is>
      </c>
      <c r="F31" s="74" t="inlineStr">
        <is>
          <t>Q-15</t>
        </is>
      </c>
      <c r="G31" s="74" t="inlineStr">
        <is>
          <t>Ans Q-15</t>
        </is>
      </c>
      <c r="H31" s="74" t="inlineStr">
        <is>
          <t>Agreed</t>
        </is>
      </c>
    </row>
    <row r="32" ht="15" customHeight="1" s="67">
      <c r="A32" s="74" t="inlineStr">
        <is>
          <t>EG-03</t>
        </is>
      </c>
      <c r="B32" s="74" t="inlineStr">
        <is>
          <t>Fear</t>
        </is>
      </c>
      <c r="C32" s="74" t="inlineStr">
        <is>
          <t>≥ 90</t>
        </is>
      </c>
      <c r="D32" s="74" t="n"/>
      <c r="E32" s="74" t="inlineStr">
        <is>
          <t>[endgame] fear_min = 90</t>
        </is>
      </c>
      <c r="F32" s="74" t="inlineStr">
        <is>
          <t>Q-15</t>
        </is>
      </c>
      <c r="G32" s="74" t="inlineStr">
        <is>
          <t>Ans Q-15</t>
        </is>
      </c>
      <c r="H32" s="74" t="inlineStr">
        <is>
          <t>Agreed</t>
        </is>
      </c>
    </row>
    <row r="33" ht="35.05" customHeight="1" s="67">
      <c r="A33" s="74" t="inlineStr">
        <is>
          <t>EG-04</t>
        </is>
      </c>
      <c r="B33" s="74" t="inlineStr">
        <is>
          <t>Required items</t>
        </is>
      </c>
      <c r="C33" s="74" t="inlineStr">
        <is>
          <t>Hold at least one special item of each category (11 Items).</t>
        </is>
      </c>
      <c r="D33" s="74" t="n"/>
      <c r="E33" s="74" t="inlineStr">
        <is>
          <t>[endgame] required_special_categories = 3</t>
        </is>
      </c>
      <c r="F33" s="74" t="inlineStr">
        <is>
          <t>Q-15</t>
        </is>
      </c>
      <c r="G33" s="74" t="inlineStr">
        <is>
          <t>Claude</t>
        </is>
      </c>
      <c r="H33" s="74" t="inlineStr">
        <is>
          <t>Proposed</t>
        </is>
      </c>
    </row>
    <row r="34" ht="102.2" customHeight="1" s="67">
      <c r="A34" s="74" t="inlineStr">
        <is>
          <t>EG-05</t>
        </is>
      </c>
      <c r="B34" s="74" t="inlineStr">
        <is>
          <t>Ultimate item — name</t>
        </is>
      </c>
      <c r="C34" s="74" t="inlineStr">
        <is>
          <t>Lodestone of Starbour (recommended; lodestone = the navigator's stone, fits the harbour pun). Alternatives: Crystal of Starbour, Starbour Keelstone.</t>
        </is>
      </c>
      <c r="D34" s="74" t="n"/>
      <c r="E34" s="74" t="n"/>
      <c r="F34" s="74" t="inlineStr">
        <is>
          <t>Q-26</t>
        </is>
      </c>
      <c r="G34" s="74" t="inlineStr">
        <is>
          <t>Ans Q-26; Claude</t>
        </is>
      </c>
      <c r="H34" s="74" t="inlineStr">
        <is>
          <t>Proposed</t>
        </is>
      </c>
    </row>
    <row r="35" ht="79.84999999999999" customHeight="1" s="67">
      <c r="A35" s="74" t="inlineStr">
        <is>
          <t>EG-06</t>
        </is>
      </c>
      <c r="B35" s="74" t="inlineStr">
        <is>
          <t>Ultimate item — where</t>
        </is>
      </c>
      <c r="C35" s="74" t="inlineStr">
        <is>
          <t>Placed when eligible, ≥ half the universe diameter away, in a sector guarded by guard_ships Bastion-class ships that must be beaten.</t>
        </is>
      </c>
      <c r="D35" s="74" t="n"/>
      <c r="E35" s="74" t="inlineStr">
        <is>
          <t>[endgame] guard_ships = 4</t>
        </is>
      </c>
      <c r="F35" s="74" t="inlineStr">
        <is>
          <t>Q-15</t>
        </is>
      </c>
      <c r="G35" s="74" t="inlineStr">
        <is>
          <t>Ans Q-15</t>
        </is>
      </c>
      <c r="H35" s="74" t="inlineStr">
        <is>
          <t>Agreed</t>
        </is>
      </c>
    </row>
    <row r="36" ht="68.65000000000001" customHeight="1" s="67">
      <c r="A36" s="74" t="inlineStr">
        <is>
          <t>EG-07</t>
        </is>
      </c>
      <c r="B36" s="74" t="inlineStr">
        <is>
          <t>Mastery — effect</t>
        </is>
      </c>
      <c r="C36" s="74" t="inlineStr">
        <is>
          <t>Weapons, shields, engine, warp = max; wealth infinite; fear and respect = 100; all planets willing to trade. Play continues.</t>
        </is>
      </c>
      <c r="D36" s="74" t="n"/>
      <c r="E36" s="74" t="n"/>
      <c r="F36" s="74" t="inlineStr">
        <is>
          <t>Q-37</t>
        </is>
      </c>
      <c r="G36" s="74" t="inlineStr">
        <is>
          <t>Chat A4; Ans Q-37</t>
        </is>
      </c>
      <c r="H36" s="74" t="inlineStr">
        <is>
          <t>Agreed</t>
        </is>
      </c>
    </row>
    <row r="37" ht="57.45" customHeight="1" s="67">
      <c r="A37" s="74" t="inlineStr">
        <is>
          <t>EG-08</t>
        </is>
      </c>
      <c r="B37" s="74" t="inlineStr">
        <is>
          <t>Mastery — ceremony</t>
        </is>
      </c>
      <c r="C37" s="74" t="inlineStr">
        <is>
          <t>Fireworks animation and big ASCII-art title on T3 (full colour); T4 shows the title permanently.</t>
        </is>
      </c>
      <c r="D37" s="74" t="n"/>
      <c r="E37" s="74" t="n"/>
      <c r="F37" s="74" t="inlineStr">
        <is>
          <t>Q-37</t>
        </is>
      </c>
      <c r="G37" s="74" t="inlineStr">
        <is>
          <t>Ans Q-37</t>
        </is>
      </c>
      <c r="H37" s="74" t="inlineStr">
        <is>
          <t>Agreed</t>
        </is>
      </c>
    </row>
    <row r="38" ht="15" customHeight="1" s="67">
      <c r="A38" s="74" t="n"/>
      <c r="B38" s="74" t="n"/>
      <c r="C38" s="74" t="n"/>
      <c r="D38" s="74" t="n"/>
      <c r="E38" s="74" t="n"/>
      <c r="F38" s="74" t="n"/>
      <c r="G38" s="74" t="n"/>
      <c r="H38" s="74" t="n"/>
    </row>
  </sheetData>
  <autoFilter ref="A6:H17"/>
  <mergeCells count="3">
    <mergeCell ref="A28:H28"/>
    <mergeCell ref="A19:H19"/>
    <mergeCell ref="A5:H5"/>
  </mergeCells>
  <conditionalFormatting sqref="H7:H17">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H21:H26">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H30:H38">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dataValidations count="1">
    <dataValidation sqref="H7:H17 H21:H26 H30:H38"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548235"/>
    <outlinePr summaryBelow="1" summaryRight="1"/>
    <pageSetUpPr fitToPage="1"/>
  </sheetPr>
  <dimension ref="A1:H62"/>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4" customWidth="1" style="66" min="2" max="2"/>
    <col width="22" customWidth="1" style="66" min="3" max="3"/>
    <col width="40" customWidth="1" style="66" min="4" max="4"/>
    <col width="32" customWidth="1" style="66" min="5" max="5"/>
    <col width="10" customWidth="1" style="66" min="6" max="6"/>
    <col width="14" customWidth="1" style="66" min="7" max="7"/>
    <col width="13" customWidth="1" style="66" min="8" max="8"/>
  </cols>
  <sheetData>
    <row r="1" ht="17.35" customHeight="1" s="67">
      <c r="A1" s="68" t="inlineStr">
        <is>
          <t>11 · Items, elements &amp; planets</t>
        </is>
      </c>
    </row>
    <row r="2" ht="15" customHeight="1" s="67">
      <c r="A2" s="69" t="inlineStr">
        <is>
          <t>Item class, element catalogue (real + mythical names), planet class and rules</t>
        </is>
      </c>
    </row>
    <row r="3" ht="15" customHeight="1" s="67">
      <c r="A3" s="70">
        <f>HYPERLINK("#'0 Index'!A1","↩ Index")</f>
        <v/>
      </c>
    </row>
    <row r="5" ht="15" customHeight="1" s="67">
      <c r="A5" s="118" t="inlineStr">
        <is>
          <t>Items — Items = {food, water, element_compounds}</t>
        </is>
      </c>
    </row>
    <row r="6" ht="15" customHeight="1" s="67">
      <c r="A6" s="119" t="inlineStr">
        <is>
          <t>ID</t>
        </is>
      </c>
      <c r="B6" s="119" t="inlineStr">
        <is>
          <t>Item</t>
        </is>
      </c>
      <c r="C6" s="119" t="inlineStr">
        <is>
          <t>Type</t>
        </is>
      </c>
      <c r="D6" s="119" t="inlineStr">
        <is>
          <t>Purpose / use</t>
        </is>
      </c>
      <c r="E6" s="119" t="inlineStr">
        <is>
          <t>Notes</t>
        </is>
      </c>
      <c r="F6" s="119" t="inlineStr">
        <is>
          <t>Open Q</t>
        </is>
      </c>
      <c r="G6" s="119" t="inlineStr">
        <is>
          <t>Origin</t>
        </is>
      </c>
      <c r="H6" s="119" t="inlineStr">
        <is>
          <t>Status</t>
        </is>
      </c>
    </row>
    <row r="7" ht="23.85" customHeight="1" s="67">
      <c r="A7" s="74" t="inlineStr">
        <is>
          <t>IT-01</t>
        </is>
      </c>
      <c r="B7" s="74" t="inlineStr">
        <is>
          <t>food</t>
        </is>
      </c>
      <c r="C7" s="74" t="inlineStr">
        <is>
          <t>int</t>
        </is>
      </c>
      <c r="D7" s="74" t="inlineStr">
        <is>
          <t>Consumed −1 per turn by crew and captain; bought from planets.</t>
        </is>
      </c>
      <c r="E7" s="74" t="inlineStr">
        <is>
          <t>At 0: mutiny (SUP-03).</t>
        </is>
      </c>
      <c r="F7" s="74" t="inlineStr">
        <is>
          <t>Q-19</t>
        </is>
      </c>
      <c r="G7" s="74" t="inlineStr">
        <is>
          <t>Ans Q-19</t>
        </is>
      </c>
      <c r="H7" s="74" t="inlineStr">
        <is>
          <t>Agreed</t>
        </is>
      </c>
    </row>
    <row r="8" ht="15" customHeight="1" s="67">
      <c r="A8" s="74" t="inlineStr">
        <is>
          <t>IT-02</t>
        </is>
      </c>
      <c r="B8" s="74" t="inlineStr">
        <is>
          <t>water</t>
        </is>
      </c>
      <c r="C8" s="74" t="inlineStr">
        <is>
          <t>int</t>
        </is>
      </c>
      <c r="D8" s="74" t="inlineStr">
        <is>
          <t>As food.</t>
        </is>
      </c>
      <c r="E8" s="74" t="n"/>
      <c r="F8" s="74" t="inlineStr">
        <is>
          <t>Q-19</t>
        </is>
      </c>
      <c r="G8" s="74" t="inlineStr">
        <is>
          <t>Ans Q-19</t>
        </is>
      </c>
      <c r="H8" s="74" t="inlineStr">
        <is>
          <t>Agreed</t>
        </is>
      </c>
    </row>
    <row r="9" ht="15" customHeight="1" s="67">
      <c r="A9" s="74" t="inlineStr">
        <is>
          <t>IT-03</t>
        </is>
      </c>
      <c r="B9" s="74" t="inlineStr">
        <is>
          <t>element_compounds</t>
        </is>
      </c>
      <c r="C9" s="74" t="inlineStr">
        <is>
          <t>List[Element]</t>
        </is>
      </c>
      <c r="D9" s="74" t="inlineStr">
        <is>
          <t>Trade goods; some upgrade ship components.</t>
        </is>
      </c>
      <c r="E9" s="74" t="n"/>
      <c r="F9" s="74" t="inlineStr">
        <is>
          <t>Q-14</t>
        </is>
      </c>
      <c r="G9" s="74" t="inlineStr">
        <is>
          <t>BP r83, r91</t>
        </is>
      </c>
      <c r="H9" s="74" t="inlineStr">
        <is>
          <t>Agreed</t>
        </is>
      </c>
    </row>
    <row r="10" ht="23.85" customHeight="1" s="67">
      <c r="A10" s="74" t="inlineStr">
        <is>
          <t>IT-04</t>
        </is>
      </c>
      <c r="B10" s="74" t="inlineStr">
        <is>
          <t>Pickup</t>
        </is>
      </c>
      <c r="C10" s="74" t="inlineStr">
        <is>
          <t>rule</t>
        </is>
      </c>
      <c r="D10" s="74" t="inlineStr">
        <is>
          <t>Enter the cell → scan → choose to pick up. Never automatic.</t>
        </is>
      </c>
      <c r="E10" s="74" t="n"/>
      <c r="F10" s="74" t="inlineStr">
        <is>
          <t>Q-07</t>
        </is>
      </c>
      <c r="G10" s="74" t="inlineStr">
        <is>
          <t>Ans Q-07</t>
        </is>
      </c>
      <c r="H10" s="74" t="inlineStr">
        <is>
          <t>Agreed</t>
        </is>
      </c>
    </row>
    <row r="11" ht="23.85" customHeight="1" s="67">
      <c r="A11" s="74" t="inlineStr">
        <is>
          <t>IT-05</t>
        </is>
      </c>
      <c r="B11" s="74" t="inlineStr">
        <is>
          <t>Rarity</t>
        </is>
      </c>
      <c r="C11" s="74" t="inlineStr">
        <is>
          <t>rule</t>
        </is>
      </c>
      <c r="D11" s="74" t="inlineStr">
        <is>
          <t>≈ 10 special and 100 normal items per galaxy; no respawn.</t>
        </is>
      </c>
      <c r="E11" s="74" t="n"/>
      <c r="F11" s="74" t="inlineStr">
        <is>
          <t>Q-07</t>
        </is>
      </c>
      <c r="G11" s="74" t="inlineStr">
        <is>
          <t>Ans Q-07; Claude</t>
        </is>
      </c>
      <c r="H11" s="74" t="inlineStr">
        <is>
          <t>Proposed</t>
        </is>
      </c>
    </row>
    <row r="12" ht="15" customHeight="1" s="67">
      <c r="A12" s="74" t="n"/>
      <c r="B12" s="74" t="n"/>
      <c r="C12" s="74" t="n"/>
      <c r="D12" s="74" t="n"/>
      <c r="E12" s="74" t="n"/>
      <c r="F12" s="74" t="n"/>
      <c r="G12" s="74" t="n"/>
      <c r="H12" s="74" t="n"/>
    </row>
    <row r="14" ht="15" customHeight="1" s="67">
      <c r="A14" s="118" t="inlineStr">
        <is>
          <t>Supplies &amp; mutiny</t>
        </is>
      </c>
    </row>
    <row r="15" ht="15" customHeight="1" s="67">
      <c r="A15" s="77" t="inlineStr">
        <is>
          <t>Your rule: at zero food or water the crew mutiny and the captain is demoted to a low-class ship. The mechanics around it are proposals.</t>
        </is>
      </c>
    </row>
    <row r="16" ht="15" customHeight="1" s="67">
      <c r="A16" s="119" t="inlineStr">
        <is>
          <t>ID</t>
        </is>
      </c>
      <c r="B16" s="119" t="inlineStr">
        <is>
          <t>Rule</t>
        </is>
      </c>
      <c r="C16" s="119" t="inlineStr">
        <is>
          <t>Statement</t>
        </is>
      </c>
      <c r="D16" s="119" t="inlineStr">
        <is>
          <t>Notes</t>
        </is>
      </c>
      <c r="E16" s="119" t="inlineStr">
        <is>
          <t>Config key</t>
        </is>
      </c>
      <c r="F16" s="119" t="inlineStr">
        <is>
          <t>Open Q</t>
        </is>
      </c>
      <c r="G16" s="119" t="inlineStr">
        <is>
          <t>Origin</t>
        </is>
      </c>
      <c r="H16" s="119" t="inlineStr">
        <is>
          <t>Status</t>
        </is>
      </c>
    </row>
    <row r="17" ht="23.85" customHeight="1" s="67">
      <c r="A17" s="74" t="inlineStr">
        <is>
          <t>SUP-01</t>
        </is>
      </c>
      <c r="B17" s="74" t="inlineStr">
        <is>
          <t>Consumption</t>
        </is>
      </c>
      <c r="C17" s="74" t="inlineStr">
        <is>
          <t>Food and water each fall by 1 per turn.</t>
        </is>
      </c>
      <c r="D17" s="74" t="n"/>
      <c r="E17" s="74" t="n"/>
      <c r="F17" s="74" t="inlineStr">
        <is>
          <t>Q-19</t>
        </is>
      </c>
      <c r="G17" s="74" t="inlineStr">
        <is>
          <t>Ans Q-19</t>
        </is>
      </c>
      <c r="H17" s="74" t="inlineStr">
        <is>
          <t>Agreed</t>
        </is>
      </c>
    </row>
    <row r="18" ht="35.05" customHeight="1" s="67">
      <c r="A18" s="74" t="inlineStr">
        <is>
          <t>SUP-02</t>
        </is>
      </c>
      <c r="B18" s="74" t="inlineStr">
        <is>
          <t>Warning</t>
        </is>
      </c>
      <c r="C18" s="74" t="inlineStr">
        <is>
          <t>T3 / T4 warn when either is ≤ warn_turns; at 0 the mutiny countdown shows.</t>
        </is>
      </c>
      <c r="D18" s="74" t="n"/>
      <c r="E18" s="74" t="inlineStr">
        <is>
          <t>[supplies] warn_turns = 5</t>
        </is>
      </c>
      <c r="F18" s="74" t="inlineStr">
        <is>
          <t>Q-19</t>
        </is>
      </c>
      <c r="G18" s="74" t="inlineStr">
        <is>
          <t>Claude</t>
        </is>
      </c>
      <c r="H18" s="74" t="inlineStr">
        <is>
          <t>Proposed</t>
        </is>
      </c>
    </row>
    <row r="19" ht="68.65000000000001" customHeight="1" s="67">
      <c r="A19" s="74" t="inlineStr">
        <is>
          <t>SUP-03</t>
        </is>
      </c>
      <c r="B19" s="74" t="inlineStr">
        <is>
          <t>Mutiny</t>
        </is>
      </c>
      <c r="C19" s="74" t="inlineStr">
        <is>
          <t>After mutiny_turns_at_zero consecutive turns with food or water at 0, the crew mutiny and take the active ship.</t>
        </is>
      </c>
      <c r="D19" s="74" t="inlineStr">
        <is>
          <t>Not game over.</t>
        </is>
      </c>
      <c r="E19" s="74" t="inlineStr">
        <is>
          <t>[supplies] mutiny_turns_at_zero = 3</t>
        </is>
      </c>
      <c r="F19" s="74" t="inlineStr">
        <is>
          <t>Q-19</t>
        </is>
      </c>
      <c r="G19" s="74" t="inlineStr">
        <is>
          <t>Chat A11</t>
        </is>
      </c>
      <c r="H19" s="74" t="inlineStr">
        <is>
          <t>Agreed</t>
        </is>
      </c>
    </row>
    <row r="20" ht="57.45" customHeight="1" s="67">
      <c r="A20" s="74" t="inlineStr">
        <is>
          <t>SUP-04</t>
        </is>
      </c>
      <c r="B20" s="74" t="inlineStr">
        <is>
          <t>With a fleet</t>
        </is>
      </c>
      <c r="C20" s="74" t="inlineStr">
        <is>
          <t>If the captain owns other ships, the captain moves to one of them (the nearest — Proposed detail) and carries on.</t>
        </is>
      </c>
      <c r="D20" s="74" t="n"/>
      <c r="E20" s="74" t="n"/>
      <c r="F20" s="74" t="inlineStr">
        <is>
          <t>Q-19</t>
        </is>
      </c>
      <c r="G20" s="74" t="inlineStr">
        <is>
          <t>Chat A19; Claude (nearest)</t>
        </is>
      </c>
      <c r="H20" s="74" t="inlineStr">
        <is>
          <t>Agreed</t>
        </is>
      </c>
    </row>
    <row r="21" ht="91" customHeight="1" s="67">
      <c r="A21" s="74" t="inlineStr">
        <is>
          <t>SUP-04b</t>
        </is>
      </c>
      <c r="B21" s="74" t="inlineStr">
        <is>
          <t>Without a fleet</t>
        </is>
      </c>
      <c r="C21" s="74" t="inlineStr">
        <is>
          <t>If no other ship is available, the captain is demoted: a Kestrel-class ship in the same cell with mutiny_supplies food and water; coins and items kept; fear −mutiny_fear_delta.</t>
        </is>
      </c>
      <c r="D21" s="74" t="n"/>
      <c r="E21" s="74" t="inlineStr">
        <is>
          <t>[supplies] mutiny_ship_class = Kestrel, mutiny_supplies = 10, mutiny_fear_delta = 10</t>
        </is>
      </c>
      <c r="F21" s="74" t="inlineStr">
        <is>
          <t>Q-19</t>
        </is>
      </c>
      <c r="G21" s="74" t="inlineStr">
        <is>
          <t>Chat A11, A19; Claude (values)</t>
        </is>
      </c>
      <c r="H21" s="74" t="inlineStr">
        <is>
          <t>Agreed</t>
        </is>
      </c>
    </row>
    <row r="22" ht="35.05" customHeight="1" s="67">
      <c r="A22" s="74" t="inlineStr">
        <is>
          <t>SUP-04c</t>
        </is>
      </c>
      <c r="B22" s="74" t="inlineStr">
        <is>
          <t>The mutineers</t>
        </is>
      </c>
      <c r="C22" s="74" t="inlineStr">
        <is>
          <t>They keep the taken ship and become a new AI captain.</t>
        </is>
      </c>
      <c r="D22" s="74" t="n"/>
      <c r="E22" s="74" t="n"/>
      <c r="F22" s="74" t="inlineStr">
        <is>
          <t>Q-19</t>
        </is>
      </c>
      <c r="G22" s="74" t="inlineStr">
        <is>
          <t>Chat A18</t>
        </is>
      </c>
      <c r="H22" s="74" t="inlineStr">
        <is>
          <t>Agreed</t>
        </is>
      </c>
    </row>
    <row r="23" ht="35.05" customHeight="1" s="67">
      <c r="A23" s="74" t="inlineStr">
        <is>
          <t>SUP-05</t>
        </is>
      </c>
      <c r="B23" s="74" t="inlineStr">
        <is>
          <t>Mastery</t>
        </is>
      </c>
      <c r="C23" s="74" t="inlineStr">
        <is>
          <t>A Master of Starbour has infinite wealth, so supplies never run out.</t>
        </is>
      </c>
      <c r="D23" s="74" t="n"/>
      <c r="E23" s="74" t="n"/>
      <c r="F23" s="74" t="inlineStr">
        <is>
          <t>Q-37</t>
        </is>
      </c>
      <c r="G23" s="74" t="inlineStr">
        <is>
          <t>Claude</t>
        </is>
      </c>
      <c r="H23" s="74" t="inlineStr">
        <is>
          <t>Proposed</t>
        </is>
      </c>
    </row>
    <row r="24" ht="15" customHeight="1" s="67">
      <c r="A24" s="74" t="n"/>
      <c r="B24" s="74" t="n"/>
      <c r="C24" s="74" t="n"/>
      <c r="D24" s="74" t="n"/>
      <c r="E24" s="74" t="n"/>
      <c r="F24" s="74" t="n"/>
      <c r="G24" s="74" t="n"/>
      <c r="H24" s="74" t="n"/>
    </row>
    <row r="26" ht="15" customHeight="1" s="67">
      <c r="A26" s="118" t="inlineStr">
        <is>
          <t>Element catalogue — read from controls_config.ini [elements]</t>
        </is>
      </c>
    </row>
    <row r="27" ht="15" customHeight="1" s="67">
      <c r="A27" s="77" t="inlineStr">
        <is>
          <t>Names: real minerals, metals and gems plus mythical ones; no franchise names. Every row is one config line: name = category, effect, value, rarity. Values are placeholders.</t>
        </is>
      </c>
    </row>
    <row r="28" ht="15" customHeight="1" s="67">
      <c r="A28" s="119" t="inlineStr">
        <is>
          <t>ID</t>
        </is>
      </c>
      <c r="B28" s="119" t="inlineStr">
        <is>
          <t>Name</t>
        </is>
      </c>
      <c r="C28" s="119" t="inlineStr">
        <is>
          <t>Category</t>
        </is>
      </c>
      <c r="D28" s="119" t="inlineStr">
        <is>
          <t>Effect when used</t>
        </is>
      </c>
      <c r="E28" s="119" t="inlineStr">
        <is>
          <t>Rarity / value (silver)</t>
        </is>
      </c>
      <c r="F28" s="119" t="inlineStr">
        <is>
          <t>Open Q</t>
        </is>
      </c>
      <c r="G28" s="119" t="inlineStr">
        <is>
          <t>Origin</t>
        </is>
      </c>
      <c r="H28" s="119" t="inlineStr">
        <is>
          <t>Status</t>
        </is>
      </c>
    </row>
    <row r="29" ht="15" customHeight="1" s="67">
      <c r="A29" s="74" t="inlineStr">
        <is>
          <t>EL-01</t>
        </is>
      </c>
      <c r="B29" s="74" t="inlineStr">
        <is>
          <t>Iridium</t>
        </is>
      </c>
      <c r="C29" s="74" t="inlineStr">
        <is>
          <t>Precious metal</t>
        </is>
      </c>
      <c r="D29" s="74" t="inlineStr">
        <is>
          <t>Torpedoes +4</t>
        </is>
      </c>
      <c r="E29" s="74" t="inlineStr">
        <is>
          <t>normal · 30</t>
        </is>
      </c>
      <c r="F29" s="74" t="inlineStr">
        <is>
          <t>Q-14, Q-20</t>
        </is>
      </c>
      <c r="G29" s="74" t="inlineStr">
        <is>
          <t>Claude</t>
        </is>
      </c>
      <c r="H29" s="74" t="inlineStr">
        <is>
          <t>Proposed</t>
        </is>
      </c>
    </row>
    <row r="30" ht="15" customHeight="1" s="67">
      <c r="A30" s="74" t="inlineStr">
        <is>
          <t>EL-02</t>
        </is>
      </c>
      <c r="B30" s="74" t="inlineStr">
        <is>
          <t>Osmium</t>
        </is>
      </c>
      <c r="C30" s="74" t="inlineStr">
        <is>
          <t>Precious metal</t>
        </is>
      </c>
      <c r="D30" s="74" t="inlineStr">
        <is>
          <t>Phasers +0.5</t>
        </is>
      </c>
      <c r="E30" s="74" t="inlineStr">
        <is>
          <t>normal · 40</t>
        </is>
      </c>
      <c r="F30" s="74" t="inlineStr">
        <is>
          <t>Q-14, Q-20</t>
        </is>
      </c>
      <c r="G30" s="74" t="inlineStr">
        <is>
          <t>Claude</t>
        </is>
      </c>
      <c r="H30" s="74" t="inlineStr">
        <is>
          <t>Proposed</t>
        </is>
      </c>
    </row>
    <row r="31" ht="15" customHeight="1" s="67">
      <c r="A31" s="74" t="inlineStr">
        <is>
          <t>EL-03</t>
        </is>
      </c>
      <c r="B31" s="74" t="inlineStr">
        <is>
          <t>Rhodium</t>
        </is>
      </c>
      <c r="C31" s="74" t="inlineStr">
        <is>
          <t>Precious metal</t>
        </is>
      </c>
      <c r="D31" s="74" t="inlineStr">
        <is>
          <t>Shields max +5</t>
        </is>
      </c>
      <c r="E31" s="74" t="inlineStr">
        <is>
          <t>normal · 40</t>
        </is>
      </c>
      <c r="F31" s="74" t="inlineStr">
        <is>
          <t>Q-14, Q-20</t>
        </is>
      </c>
      <c r="G31" s="74" t="inlineStr">
        <is>
          <t>Claude</t>
        </is>
      </c>
      <c r="H31" s="74" t="inlineStr">
        <is>
          <t>Proposed</t>
        </is>
      </c>
    </row>
    <row r="32" ht="15" customHeight="1" s="67">
      <c r="A32" s="74" t="inlineStr">
        <is>
          <t>EL-04</t>
        </is>
      </c>
      <c r="B32" s="74" t="inlineStr">
        <is>
          <t>Sapphire</t>
        </is>
      </c>
      <c r="C32" s="74" t="inlineStr">
        <is>
          <t>Exotic crystal</t>
        </is>
      </c>
      <c r="D32" s="74" t="inlineStr">
        <is>
          <t>Shields max +10</t>
        </is>
      </c>
      <c r="E32" s="74" t="inlineStr">
        <is>
          <t>normal · 60</t>
        </is>
      </c>
      <c r="F32" s="74" t="inlineStr">
        <is>
          <t>Q-14, Q-20</t>
        </is>
      </c>
      <c r="G32" s="74" t="inlineStr">
        <is>
          <t>Claude</t>
        </is>
      </c>
      <c r="H32" s="74" t="inlineStr">
        <is>
          <t>Proposed</t>
        </is>
      </c>
    </row>
    <row r="33" ht="15" customHeight="1" s="67">
      <c r="A33" s="74" t="inlineStr">
        <is>
          <t>EL-05</t>
        </is>
      </c>
      <c r="B33" s="74" t="inlineStr">
        <is>
          <t>Moonstone</t>
        </is>
      </c>
      <c r="C33" s="74" t="inlineStr">
        <is>
          <t>Exotic crystal</t>
        </is>
      </c>
      <c r="D33" s="74" t="inlineStr">
        <is>
          <t>Engine +0.5</t>
        </is>
      </c>
      <c r="E33" s="74" t="inlineStr">
        <is>
          <t>normal · 60</t>
        </is>
      </c>
      <c r="F33" s="74" t="inlineStr">
        <is>
          <t>Q-14, Q-20</t>
        </is>
      </c>
      <c r="G33" s="74" t="inlineStr">
        <is>
          <t>Claude</t>
        </is>
      </c>
      <c r="H33" s="74" t="inlineStr">
        <is>
          <t>Proposed</t>
        </is>
      </c>
    </row>
    <row r="34" ht="15" customHeight="1" s="67">
      <c r="A34" s="74" t="inlineStr">
        <is>
          <t>EL-06</t>
        </is>
      </c>
      <c r="B34" s="74" t="inlineStr">
        <is>
          <t>Sunstone</t>
        </is>
      </c>
      <c r="C34" s="74" t="inlineStr">
        <is>
          <t>Exotic crystal</t>
        </is>
      </c>
      <c r="D34" s="74" t="inlineStr">
        <is>
          <t>Phasers +1</t>
        </is>
      </c>
      <c r="E34" s="74" t="inlineStr">
        <is>
          <t>normal · 80</t>
        </is>
      </c>
      <c r="F34" s="74" t="inlineStr">
        <is>
          <t>Q-14, Q-20</t>
        </is>
      </c>
      <c r="G34" s="74" t="inlineStr">
        <is>
          <t>Claude</t>
        </is>
      </c>
      <c r="H34" s="74" t="inlineStr">
        <is>
          <t>Proposed</t>
        </is>
      </c>
    </row>
    <row r="35" ht="15" customHeight="1" s="67">
      <c r="A35" s="74" t="inlineStr">
        <is>
          <t>EL-07</t>
        </is>
      </c>
      <c r="B35" s="74" t="inlineStr">
        <is>
          <t>Antihydrogen</t>
        </is>
      </c>
      <c r="C35" s="74" t="inlineStr">
        <is>
          <t>Antimatter</t>
        </is>
      </c>
      <c r="D35" s="74" t="inlineStr">
        <is>
          <t>Warp core +0.5</t>
        </is>
      </c>
      <c r="E35" s="74" t="inlineStr">
        <is>
          <t>normal · 100</t>
        </is>
      </c>
      <c r="F35" s="74" t="inlineStr">
        <is>
          <t>Q-14, Q-20</t>
        </is>
      </c>
      <c r="G35" s="74" t="inlineStr">
        <is>
          <t>Claude</t>
        </is>
      </c>
      <c r="H35" s="74" t="inlineStr">
        <is>
          <t>Proposed</t>
        </is>
      </c>
    </row>
    <row r="36" ht="15" customHeight="1" s="67">
      <c r="A36" s="74" t="inlineStr">
        <is>
          <t>EL-08</t>
        </is>
      </c>
      <c r="B36" s="74" t="inlineStr">
        <is>
          <t>Positronium</t>
        </is>
      </c>
      <c r="C36" s="74" t="inlineStr">
        <is>
          <t>Antimatter</t>
        </is>
      </c>
      <c r="D36" s="74" t="inlineStr">
        <is>
          <t>Torpedoes +10</t>
        </is>
      </c>
      <c r="E36" s="74" t="inlineStr">
        <is>
          <t>normal · 100</t>
        </is>
      </c>
      <c r="F36" s="74" t="inlineStr">
        <is>
          <t>Q-14, Q-20</t>
        </is>
      </c>
      <c r="G36" s="74" t="inlineStr">
        <is>
          <t>Claude</t>
        </is>
      </c>
      <c r="H36" s="74" t="inlineStr">
        <is>
          <t>Proposed</t>
        </is>
      </c>
    </row>
    <row r="37" ht="15" customHeight="1" s="67">
      <c r="A37" s="74" t="inlineStr">
        <is>
          <t>EL-09</t>
        </is>
      </c>
      <c r="B37" s="74" t="inlineStr">
        <is>
          <t>Orichalcum</t>
        </is>
      </c>
      <c r="C37" s="74" t="inlineStr">
        <is>
          <t>Mythical (special)</t>
        </is>
      </c>
      <c r="D37" s="74" t="inlineStr">
        <is>
          <t>Shields max +25</t>
        </is>
      </c>
      <c r="E37" s="74" t="inlineStr">
        <is>
          <t>special · 400</t>
        </is>
      </c>
      <c r="F37" s="74" t="inlineStr">
        <is>
          <t>Q-14, Q-20</t>
        </is>
      </c>
      <c r="G37" s="74" t="inlineStr">
        <is>
          <t>Claude</t>
        </is>
      </c>
      <c r="H37" s="74" t="inlineStr">
        <is>
          <t>Proposed</t>
        </is>
      </c>
    </row>
    <row r="38" ht="15" customHeight="1" s="67">
      <c r="A38" s="74" t="inlineStr">
        <is>
          <t>EL-10</t>
        </is>
      </c>
      <c r="B38" s="74" t="inlineStr">
        <is>
          <t>Adamantine</t>
        </is>
      </c>
      <c r="C38" s="74" t="inlineStr">
        <is>
          <t>Mythical (special)</t>
        </is>
      </c>
      <c r="D38" s="74" t="inlineStr">
        <is>
          <t>Phasers +2</t>
        </is>
      </c>
      <c r="E38" s="74" t="inlineStr">
        <is>
          <t>special · 400</t>
        </is>
      </c>
      <c r="F38" s="74" t="inlineStr">
        <is>
          <t>Q-14, Q-20</t>
        </is>
      </c>
      <c r="G38" s="74" t="inlineStr">
        <is>
          <t>Claude</t>
        </is>
      </c>
      <c r="H38" s="74" t="inlineStr">
        <is>
          <t>Proposed</t>
        </is>
      </c>
    </row>
    <row r="39" ht="15" customHeight="1" s="67">
      <c r="A39" s="74" t="inlineStr">
        <is>
          <t>EL-11</t>
        </is>
      </c>
      <c r="B39" s="74" t="inlineStr">
        <is>
          <t>Aetherite</t>
        </is>
      </c>
      <c r="C39" s="74" t="inlineStr">
        <is>
          <t>Mythical (special)</t>
        </is>
      </c>
      <c r="D39" s="74" t="inlineStr">
        <is>
          <t>Warp core +1.5</t>
        </is>
      </c>
      <c r="E39" s="74" t="inlineStr">
        <is>
          <t>special · 500</t>
        </is>
      </c>
      <c r="F39" s="74" t="inlineStr">
        <is>
          <t>Q-14, Q-20</t>
        </is>
      </c>
      <c r="G39" s="74" t="inlineStr">
        <is>
          <t>Claude</t>
        </is>
      </c>
      <c r="H39" s="74" t="inlineStr">
        <is>
          <t>Proposed</t>
        </is>
      </c>
    </row>
    <row r="40" ht="15" customHeight="1" s="67">
      <c r="A40" s="74" t="inlineStr">
        <is>
          <t>EL-12</t>
        </is>
      </c>
      <c r="B40" s="74" t="inlineStr">
        <is>
          <t>Star-iron</t>
        </is>
      </c>
      <c r="C40" s="74" t="inlineStr">
        <is>
          <t>Mythical (special)</t>
        </is>
      </c>
      <c r="D40" s="74" t="inlineStr">
        <is>
          <t>Engine +1.5</t>
        </is>
      </c>
      <c r="E40" s="74" t="inlineStr">
        <is>
          <t>special · 500</t>
        </is>
      </c>
      <c r="F40" s="74" t="inlineStr">
        <is>
          <t>Q-14, Q-20</t>
        </is>
      </c>
      <c r="G40" s="74" t="inlineStr">
        <is>
          <t>Claude</t>
        </is>
      </c>
      <c r="H40" s="74" t="inlineStr">
        <is>
          <t>Proposed</t>
        </is>
      </c>
    </row>
    <row r="41" ht="15" customHeight="1" s="67">
      <c r="A41" s="74" t="n"/>
      <c r="B41" s="74" t="n"/>
      <c r="C41" s="74" t="n"/>
      <c r="D41" s="74" t="n"/>
      <c r="E41" s="74" t="n"/>
      <c r="F41" s="74" t="n"/>
      <c r="G41" s="74" t="n"/>
      <c r="H41" s="74" t="n"/>
    </row>
    <row r="42" ht="15" customHeight="1" s="67">
      <c r="A42" s="74" t="n"/>
      <c r="B42" s="74" t="n"/>
      <c r="C42" s="74" t="n"/>
      <c r="D42" s="74" t="n"/>
      <c r="E42" s="74" t="n"/>
      <c r="F42" s="74" t="n"/>
      <c r="G42" s="74" t="n"/>
      <c r="H42" s="74" t="n"/>
    </row>
    <row r="43" ht="15" customHeight="1" s="67">
      <c r="A43" s="74" t="n"/>
      <c r="B43" s="74" t="n"/>
      <c r="C43" s="74" t="n"/>
      <c r="D43" s="74" t="n"/>
      <c r="E43" s="74" t="n"/>
      <c r="F43" s="74" t="n"/>
      <c r="G43" s="74" t="n"/>
      <c r="H43" s="74" t="n"/>
    </row>
    <row r="45" ht="15" customHeight="1" s="67">
      <c r="A45" s="118" t="inlineStr">
        <is>
          <t>Planet class — Planet = {name, food, water, element_compounds, shields, torpedos, phasers, prezident_name}</t>
        </is>
      </c>
    </row>
    <row r="46" ht="15" customHeight="1" s="67">
      <c r="A46" s="119" t="inlineStr">
        <is>
          <t>ID</t>
        </is>
      </c>
      <c r="B46" s="119" t="inlineStr">
        <is>
          <t>Attribute</t>
        </is>
      </c>
      <c r="C46" s="119" t="inlineStr">
        <is>
          <t>Type</t>
        </is>
      </c>
      <c r="D46" s="119" t="inlineStr">
        <is>
          <t>Range / meaning</t>
        </is>
      </c>
      <c r="E46" s="119" t="inlineStr">
        <is>
          <t>Notes</t>
        </is>
      </c>
      <c r="F46" s="119" t="inlineStr">
        <is>
          <t>Open Q</t>
        </is>
      </c>
      <c r="G46" s="119" t="inlineStr">
        <is>
          <t>Origin</t>
        </is>
      </c>
      <c r="H46" s="119" t="inlineStr">
        <is>
          <t>Status</t>
        </is>
      </c>
    </row>
    <row r="47" ht="15" customHeight="1" s="67">
      <c r="A47" s="74" t="inlineStr">
        <is>
          <t>PL-01</t>
        </is>
      </c>
      <c r="B47" s="74" t="inlineStr">
        <is>
          <t>name</t>
        </is>
      </c>
      <c r="C47" s="74" t="inlineStr">
        <is>
          <t>str</t>
        </is>
      </c>
      <c r="D47" s="74" t="n"/>
      <c r="E47" s="74" t="inlineStr">
        <is>
          <t>Original names.</t>
        </is>
      </c>
      <c r="F47" s="74" t="n"/>
      <c r="G47" s="74" t="inlineStr">
        <is>
          <t>BP r87</t>
        </is>
      </c>
      <c r="H47" s="74" t="inlineStr">
        <is>
          <t>Agreed</t>
        </is>
      </c>
    </row>
    <row r="48" ht="15" customHeight="1" s="67">
      <c r="A48" s="74" t="inlineStr">
        <is>
          <t>PL-02</t>
        </is>
      </c>
      <c r="B48" s="74" t="inlineStr">
        <is>
          <t>food, water</t>
        </is>
      </c>
      <c r="C48" s="74" t="inlineStr">
        <is>
          <t>int</t>
        </is>
      </c>
      <c r="D48" s="74" t="inlineStr">
        <is>
          <t>Stock; regenerates +5 per turn up to a cap</t>
        </is>
      </c>
      <c r="E48" s="74" t="n"/>
      <c r="F48" s="74" t="inlineStr">
        <is>
          <t>Q-21</t>
        </is>
      </c>
      <c r="G48" s="74" t="inlineStr">
        <is>
          <t>BP r87; Claude</t>
        </is>
      </c>
      <c r="H48" s="74" t="inlineStr">
        <is>
          <t>Proposed</t>
        </is>
      </c>
    </row>
    <row r="49" ht="15" customHeight="1" s="67">
      <c r="A49" s="74" t="inlineStr">
        <is>
          <t>PL-03</t>
        </is>
      </c>
      <c r="B49" s="74" t="inlineStr">
        <is>
          <t>element_compounds</t>
        </is>
      </c>
      <c r="C49" s="74" t="inlineStr">
        <is>
          <t>List[Element]</t>
        </is>
      </c>
      <c r="D49" s="74" t="inlineStr">
        <is>
          <t>Stock for sale; no regeneration</t>
        </is>
      </c>
      <c r="E49" s="74" t="n"/>
      <c r="F49" s="74" t="inlineStr">
        <is>
          <t>Q-21</t>
        </is>
      </c>
      <c r="G49" s="74" t="inlineStr">
        <is>
          <t>BP r87; Claude</t>
        </is>
      </c>
      <c r="H49" s="74" t="inlineStr">
        <is>
          <t>Proposed</t>
        </is>
      </c>
    </row>
    <row r="50" ht="23.85" customHeight="1" s="67">
      <c r="A50" s="74" t="inlineStr">
        <is>
          <t>PL-04</t>
        </is>
      </c>
      <c r="B50" s="74" t="inlineStr">
        <is>
          <t>shields, torpedos, phasers</t>
        </is>
      </c>
      <c r="C50" s="74" t="inlineStr">
        <is>
          <t>as ships</t>
        </is>
      </c>
      <c r="D50" s="74" t="inlineStr">
        <is>
          <t>Planets fight with the same rules; they cannot move or escape.</t>
        </is>
      </c>
      <c r="E50" s="74" t="n"/>
      <c r="F50" s="74" t="inlineStr">
        <is>
          <t>Q-21</t>
        </is>
      </c>
      <c r="G50" s="74" t="inlineStr">
        <is>
          <t>BP r87; Ans Q-21</t>
        </is>
      </c>
      <c r="H50" s="74" t="inlineStr">
        <is>
          <t>Agreed</t>
        </is>
      </c>
    </row>
    <row r="51" ht="23.85" customHeight="1" s="67">
      <c r="A51" s="74" t="inlineStr">
        <is>
          <t>PL-05</t>
        </is>
      </c>
      <c r="B51" s="74" t="inlineStr">
        <is>
          <t>prezident_name</t>
        </is>
      </c>
      <c r="C51" s="74" t="inlineStr">
        <is>
          <t>str</t>
        </is>
      </c>
      <c r="D51" s="74" t="inlineStr">
        <is>
          <t>Head of the planet; trade counterparty; decides to attack if the captain's respect is low.</t>
        </is>
      </c>
      <c r="E51" s="74" t="n"/>
      <c r="F51" s="74" t="inlineStr">
        <is>
          <t>Q-21, Q-24</t>
        </is>
      </c>
      <c r="G51" s="74" t="inlineStr">
        <is>
          <t>BP r87, r90; Ans Q-21</t>
        </is>
      </c>
      <c r="H51" s="74" t="inlineStr">
        <is>
          <t>Agreed</t>
        </is>
      </c>
    </row>
    <row r="52" ht="23.85" customHeight="1" s="67">
      <c r="A52" s="74" t="inlineStr">
        <is>
          <t>PL-06</t>
        </is>
      </c>
      <c r="B52" s="74" t="inlineStr">
        <is>
          <t>disposition</t>
        </is>
      </c>
      <c r="C52" s="74" t="inlineStr">
        <is>
          <t>int −100…100</t>
        </is>
      </c>
      <c r="D52" s="74" t="inlineStr">
        <is>
          <t>Derived from the captain's respect (14 Fear &amp; Respect, effects table).</t>
        </is>
      </c>
      <c r="E52" s="74" t="n"/>
      <c r="F52" s="74" t="inlineStr">
        <is>
          <t>Q-24</t>
        </is>
      </c>
      <c r="G52" s="74" t="inlineStr">
        <is>
          <t>Chat A13; Claude</t>
        </is>
      </c>
      <c r="H52" s="74" t="inlineStr">
        <is>
          <t>Proposed</t>
        </is>
      </c>
    </row>
    <row r="53" ht="15" customHeight="1" s="67">
      <c r="A53" s="74" t="n"/>
      <c r="B53" s="74" t="n"/>
      <c r="C53" s="74" t="n"/>
      <c r="D53" s="74" t="n"/>
      <c r="E53" s="74" t="n"/>
      <c r="F53" s="74" t="n"/>
      <c r="G53" s="74" t="n"/>
      <c r="H53" s="74" t="n"/>
    </row>
    <row r="55" ht="15" customHeight="1" s="67">
      <c r="A55" s="118" t="inlineStr">
        <is>
          <t>Planet rules</t>
        </is>
      </c>
    </row>
    <row r="56" ht="15" customHeight="1" s="67">
      <c r="A56" s="119" t="inlineStr">
        <is>
          <t>ID</t>
        </is>
      </c>
      <c r="B56" s="119" t="inlineStr">
        <is>
          <t>Rule</t>
        </is>
      </c>
      <c r="C56" s="119" t="inlineStr">
        <is>
          <t>Statement</t>
        </is>
      </c>
      <c r="D56" s="119" t="inlineStr">
        <is>
          <t>Notes</t>
        </is>
      </c>
      <c r="E56" s="119" t="inlineStr">
        <is>
          <t>Example</t>
        </is>
      </c>
      <c r="F56" s="119" t="inlineStr">
        <is>
          <t>Open Q</t>
        </is>
      </c>
      <c r="G56" s="119" t="inlineStr">
        <is>
          <t>Origin</t>
        </is>
      </c>
      <c r="H56" s="119" t="inlineStr">
        <is>
          <t>Status</t>
        </is>
      </c>
    </row>
    <row r="57" ht="46.25" customHeight="1" s="67">
      <c r="A57" s="74" t="inlineStr">
        <is>
          <t>PR-01</t>
        </is>
      </c>
      <c r="B57" s="74" t="inlineStr">
        <is>
          <t>Trade</t>
        </is>
      </c>
      <c r="C57" s="74" t="inlineStr">
        <is>
          <t>The captain trades items and wealth with the planet's head; buy / sell at the planet's prices.</t>
        </is>
      </c>
      <c r="D57" s="74" t="n"/>
      <c r="E57" s="74" t="n"/>
      <c r="F57" s="74" t="inlineStr">
        <is>
          <t>Q-14</t>
        </is>
      </c>
      <c r="G57" s="74" t="inlineStr">
        <is>
          <t>BP r90; Ans Q-14</t>
        </is>
      </c>
      <c r="H57" s="74" t="inlineStr">
        <is>
          <t>Agreed</t>
        </is>
      </c>
    </row>
    <row r="58" ht="79.84999999999999" customHeight="1" s="67">
      <c r="A58" s="74" t="inlineStr">
        <is>
          <t>PR-02</t>
        </is>
      </c>
      <c r="B58" s="74" t="inlineStr">
        <is>
          <t>Attack</t>
        </is>
      </c>
      <c r="C58" s="74" t="inlineStr">
        <is>
          <t>Planets can be attacked and can attack (e.g. a hostile president). Destroyed planet → all its resources are looted. Peace → X% to the victor (13 Combat CB-03).</t>
        </is>
      </c>
      <c r="D58" s="74" t="n"/>
      <c r="E58" s="74" t="n"/>
      <c r="F58" s="74" t="inlineStr">
        <is>
          <t>Q-21</t>
        </is>
      </c>
      <c r="G58" s="74" t="inlineStr">
        <is>
          <t>Ans Q-21</t>
        </is>
      </c>
      <c r="H58" s="74" t="inlineStr">
        <is>
          <t>Agreed</t>
        </is>
      </c>
    </row>
    <row r="59" ht="35.05" customHeight="1" s="67">
      <c r="A59" s="74" t="inlineStr">
        <is>
          <t>PR-03</t>
        </is>
      </c>
      <c r="B59" s="74" t="inlineStr">
        <is>
          <t>Stock regeneration</t>
        </is>
      </c>
      <c r="C59" s="74" t="inlineStr">
        <is>
          <t>Food and water regenerate; elements do not.</t>
        </is>
      </c>
      <c r="D59" s="74" t="n"/>
      <c r="E59" s="74" t="n"/>
      <c r="F59" s="74" t="inlineStr">
        <is>
          <t>Q-21</t>
        </is>
      </c>
      <c r="G59" s="74" t="inlineStr">
        <is>
          <t>Claude</t>
        </is>
      </c>
      <c r="H59" s="74" t="inlineStr">
        <is>
          <t>Proposed</t>
        </is>
      </c>
    </row>
    <row r="60" ht="23.85" customHeight="1" s="67">
      <c r="A60" s="74" t="inlineStr">
        <is>
          <t>PR-04</t>
        </is>
      </c>
      <c r="B60" s="74" t="inlineStr">
        <is>
          <t>Reach</t>
        </is>
      </c>
      <c r="C60" s="74" t="inlineStr">
        <is>
          <t>The ship must be in the planet's cell to trade.</t>
        </is>
      </c>
      <c r="D60" s="74" t="n"/>
      <c r="E60" s="74" t="n"/>
      <c r="F60" s="74" t="inlineStr">
        <is>
          <t>Q-14</t>
        </is>
      </c>
      <c r="G60" s="74" t="inlineStr">
        <is>
          <t>Claude</t>
        </is>
      </c>
      <c r="H60" s="74" t="inlineStr">
        <is>
          <t>Proposed</t>
        </is>
      </c>
    </row>
    <row r="61" ht="79.84999999999999" customHeight="1" s="67">
      <c r="A61" s="74" t="inlineStr">
        <is>
          <t>PR-05</t>
        </is>
      </c>
      <c r="B61" s="74" t="inlineStr">
        <is>
          <t>Disposition</t>
        </is>
      </c>
      <c r="C61" s="74" t="inlineStr">
        <is>
          <t>Planets respond to respect: below 20 they refuse trade and may attack; prices improve as respect rises; after mastery every planet trades.</t>
        </is>
      </c>
      <c r="D61" s="74" t="n"/>
      <c r="E61" s="74" t="n"/>
      <c r="F61" s="74" t="inlineStr">
        <is>
          <t>Q-24</t>
        </is>
      </c>
      <c r="G61" s="74" t="inlineStr">
        <is>
          <t>Chat A13; Claude</t>
        </is>
      </c>
      <c r="H61" s="74" t="inlineStr">
        <is>
          <t>Proposed</t>
        </is>
      </c>
    </row>
    <row r="62" ht="15" customHeight="1" s="67">
      <c r="A62" s="74" t="n"/>
      <c r="B62" s="74" t="n"/>
      <c r="C62" s="74" t="n"/>
      <c r="D62" s="74" t="n"/>
      <c r="E62" s="74" t="n"/>
      <c r="F62" s="74" t="n"/>
      <c r="G62" s="74" t="n"/>
      <c r="H62" s="74" t="n"/>
    </row>
  </sheetData>
  <autoFilter ref="A6:H12"/>
  <mergeCells count="7">
    <mergeCell ref="A26:H26"/>
    <mergeCell ref="A55:H55"/>
    <mergeCell ref="A15:H15"/>
    <mergeCell ref="A5:H5"/>
    <mergeCell ref="A14:H14"/>
    <mergeCell ref="A45:H45"/>
    <mergeCell ref="A27:H27"/>
  </mergeCells>
  <conditionalFormatting sqref="H7:H12">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H17:H24">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H29:H43">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conditionalFormatting sqref="H47:H53">
    <cfRule type="cellIs" rank="0" priority="17" equalAverage="0" operator="equal" aboveAverage="0" dxfId="9" text="" percent="0" bottom="0">
      <formula>"Agreed"</formula>
    </cfRule>
    <cfRule type="cellIs" rank="0" priority="18" equalAverage="0" operator="equal" aboveAverage="0" dxfId="10" text="" percent="0" bottom="0">
      <formula>"Proposed"</formula>
    </cfRule>
    <cfRule type="cellIs" rank="0" priority="19" equalAverage="0" operator="equal" aboveAverage="0" dxfId="11" text="" percent="0" bottom="0">
      <formula>"Draft"</formula>
    </cfRule>
    <cfRule type="cellIs" rank="0" priority="20" equalAverage="0" operator="equal" aboveAverage="0" dxfId="12" text="" percent="0" bottom="0">
      <formula>"Needs detail"</formula>
    </cfRule>
    <cfRule type="cellIs" rank="0" priority="21" equalAverage="0" operator="equal" aboveAverage="0" dxfId="13" text="" percent="0" bottom="0">
      <formula>"Not started"</formula>
    </cfRule>
  </conditionalFormatting>
  <conditionalFormatting sqref="H57:H62">
    <cfRule type="cellIs" rank="0" priority="22" equalAverage="0" operator="equal" aboveAverage="0" dxfId="9" text="" percent="0" bottom="0">
      <formula>"Agreed"</formula>
    </cfRule>
    <cfRule type="cellIs" rank="0" priority="23" equalAverage="0" operator="equal" aboveAverage="0" dxfId="10" text="" percent="0" bottom="0">
      <formula>"Proposed"</formula>
    </cfRule>
    <cfRule type="cellIs" rank="0" priority="24" equalAverage="0" operator="equal" aboveAverage="0" dxfId="11" text="" percent="0" bottom="0">
      <formula>"Draft"</formula>
    </cfRule>
    <cfRule type="cellIs" rank="0" priority="25" equalAverage="0" operator="equal" aboveAverage="0" dxfId="12" text="" percent="0" bottom="0">
      <formula>"Needs detail"</formula>
    </cfRule>
    <cfRule type="cellIs" rank="0" priority="26" equalAverage="0" operator="equal" aboveAverage="0" dxfId="13" text="" percent="0" bottom="0">
      <formula>"Not started"</formula>
    </cfRule>
  </conditionalFormatting>
  <dataValidations count="1">
    <dataValidation sqref="H7:H12 H17:H24 H29:H43 H47:H53 H57:H62"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C55A11"/>
    <outlinePr summaryBelow="1" summaryRight="1"/>
    <pageSetUpPr fitToPage="1"/>
  </sheetPr>
  <dimension ref="A1:H3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2" customWidth="1" style="66" min="2" max="2"/>
    <col width="48" customWidth="1" style="66" min="3" max="3"/>
    <col width="34" customWidth="1" style="66" min="4" max="4"/>
    <col width="26" customWidth="1" style="66" min="5" max="5"/>
    <col width="10" customWidth="1" style="66" min="6" max="6"/>
    <col width="14" customWidth="1" style="66" min="7" max="7"/>
    <col width="13" customWidth="1" style="66" min="8" max="8"/>
  </cols>
  <sheetData>
    <row r="1" ht="17.35" customHeight="1" s="67">
      <c r="A1" s="68" t="inlineStr">
        <is>
          <t>12 · Trade &amp; economy</t>
        </is>
      </c>
    </row>
    <row r="2" ht="15" customHeight="1" s="67">
      <c r="A2" s="69" t="inlineStr">
        <is>
          <t>Currencies, trading, upgrades, wealth sources and sinks</t>
        </is>
      </c>
    </row>
    <row r="3" ht="15" customHeight="1" s="67">
      <c r="A3" s="70">
        <f>HYPERLINK("#'0 Index'!A1","↩ Index")</f>
        <v/>
      </c>
    </row>
    <row r="5" ht="15" customHeight="1" s="67">
      <c r="A5" s="121" t="inlineStr">
        <is>
          <t>Rules</t>
        </is>
      </c>
    </row>
    <row r="6" ht="15" customHeight="1" s="67">
      <c r="A6" s="122" t="inlineStr">
        <is>
          <t>ID</t>
        </is>
      </c>
      <c r="B6" s="122" t="inlineStr">
        <is>
          <t>Rule</t>
        </is>
      </c>
      <c r="C6" s="122" t="inlineStr">
        <is>
          <t>Statement</t>
        </is>
      </c>
      <c r="D6" s="122" t="inlineStr">
        <is>
          <t>Notes</t>
        </is>
      </c>
      <c r="E6" s="122" t="inlineStr">
        <is>
          <t>Config key</t>
        </is>
      </c>
      <c r="F6" s="122" t="inlineStr">
        <is>
          <t>Open Q</t>
        </is>
      </c>
      <c r="G6" s="122" t="inlineStr">
        <is>
          <t>Origin</t>
        </is>
      </c>
      <c r="H6" s="122" t="inlineStr">
        <is>
          <t>Status</t>
        </is>
      </c>
    </row>
    <row r="7" ht="15" customHeight="1" s="67">
      <c r="A7" s="74" t="inlineStr">
        <is>
          <t>TR-01</t>
        </is>
      </c>
      <c r="B7" s="74" t="inlineStr">
        <is>
          <t>Currencies</t>
        </is>
      </c>
      <c r="C7" s="74" t="inlineStr">
        <is>
          <t>Gold and silver coins; 1 gold = 20 silver; gold is rarer.</t>
        </is>
      </c>
      <c r="D7" s="74" t="n"/>
      <c r="E7" s="74" t="inlineStr">
        <is>
          <t>[economy] silver_per_gold = 20</t>
        </is>
      </c>
      <c r="F7" s="74" t="inlineStr">
        <is>
          <t>Q-14</t>
        </is>
      </c>
      <c r="G7" s="74" t="inlineStr">
        <is>
          <t>Ans Q-14</t>
        </is>
      </c>
      <c r="H7" s="74" t="inlineStr">
        <is>
          <t>Agreed</t>
        </is>
      </c>
    </row>
    <row r="8" ht="15" customHeight="1" s="67">
      <c r="A8" s="74" t="inlineStr">
        <is>
          <t>TR-02</t>
        </is>
      </c>
      <c r="B8" s="74" t="inlineStr">
        <is>
          <t>Trade partners</t>
        </is>
      </c>
      <c r="C8" s="74" t="inlineStr">
        <is>
          <t>Other captains and planet heads.</t>
        </is>
      </c>
      <c r="D8" s="74" t="n"/>
      <c r="E8" s="74" t="n"/>
      <c r="F8" s="74" t="n"/>
      <c r="G8" s="74" t="inlineStr">
        <is>
          <t>BP r90</t>
        </is>
      </c>
      <c r="H8" s="74" t="inlineStr">
        <is>
          <t>Agreed</t>
        </is>
      </c>
    </row>
    <row r="9" ht="15" customHeight="1" s="67">
      <c r="A9" s="74" t="inlineStr">
        <is>
          <t>TR-03</t>
        </is>
      </c>
      <c r="B9" s="74" t="inlineStr">
        <is>
          <t>Tradeable things</t>
        </is>
      </c>
      <c r="C9" s="74" t="inlineStr">
        <is>
          <t>Items (food, water, elements) and coins.</t>
        </is>
      </c>
      <c r="D9" s="74" t="n"/>
      <c r="E9" s="74" t="n"/>
      <c r="F9" s="74" t="n"/>
      <c r="G9" s="74" t="inlineStr">
        <is>
          <t>BP r90</t>
        </is>
      </c>
      <c r="H9" s="74" t="inlineStr">
        <is>
          <t>Agreed</t>
        </is>
      </c>
    </row>
    <row r="10" ht="15" customHeight="1" s="67">
      <c r="A10" s="74" t="inlineStr">
        <is>
          <t>TR-04</t>
        </is>
      </c>
      <c r="B10" s="74" t="inlineStr">
        <is>
          <t>Buying</t>
        </is>
      </c>
      <c r="C10" s="74" t="inlineStr">
        <is>
          <t>Items are bought with gold / silver at a planet's prices.</t>
        </is>
      </c>
      <c r="D10" s="74" t="n"/>
      <c r="E10" s="74" t="n"/>
      <c r="F10" s="74" t="inlineStr">
        <is>
          <t>Q-14</t>
        </is>
      </c>
      <c r="G10" s="74" t="inlineStr">
        <is>
          <t>Ans Q-14</t>
        </is>
      </c>
      <c r="H10" s="74" t="inlineStr">
        <is>
          <t>Agreed</t>
        </is>
      </c>
    </row>
    <row r="11" ht="46.25" customHeight="1" s="67">
      <c r="A11" s="74" t="inlineStr">
        <is>
          <t>TR-05</t>
        </is>
      </c>
      <c r="B11" s="74" t="inlineStr">
        <is>
          <t>Upgrades</t>
        </is>
      </c>
      <c r="C11" s="74" t="inlineStr">
        <is>
          <t>Elements improve torpedoes, phasers, shields, engine, warp. The map (which element → which component, by how much) lives in controls_config.ini [upgrades]; the game reads it, never hard-codes it.</t>
        </is>
      </c>
      <c r="D11" s="74" t="n"/>
      <c r="E11" s="74" t="inlineStr">
        <is>
          <t>[upgrades] *</t>
        </is>
      </c>
      <c r="F11" s="74" t="inlineStr">
        <is>
          <t>Q-14</t>
        </is>
      </c>
      <c r="G11" s="74" t="inlineStr">
        <is>
          <t>BP r91; Chat A17</t>
        </is>
      </c>
      <c r="H11" s="74" t="inlineStr">
        <is>
          <t>Agreed</t>
        </is>
      </c>
    </row>
    <row r="12" ht="35.05" customHeight="1" s="67">
      <c r="A12" s="74" t="inlineStr">
        <is>
          <t>TR-06</t>
        </is>
      </c>
      <c r="B12" s="74" t="inlineStr">
        <is>
          <t>Valuation</t>
        </is>
      </c>
      <c r="C12" s="74" t="inlineStr">
        <is>
          <t>A planet accepts a trade if what it receives is worth ≥ what it gives at list prices, adjusted by disposition (±20%). AI captains the same, ±10%.</t>
        </is>
      </c>
      <c r="D12" s="74" t="n"/>
      <c r="E12" s="74" t="inlineStr">
        <is>
          <t>[economy] *</t>
        </is>
      </c>
      <c r="F12" s="74" t="inlineStr">
        <is>
          <t>Q-14, Q-24</t>
        </is>
      </c>
      <c r="G12" s="74" t="inlineStr">
        <is>
          <t>Claude</t>
        </is>
      </c>
      <c r="H12" s="74" t="inlineStr">
        <is>
          <t>Proposed</t>
        </is>
      </c>
    </row>
    <row r="13" ht="23.85" customHeight="1" s="67">
      <c r="A13" s="74" t="inlineStr">
        <is>
          <t>TR-07</t>
        </is>
      </c>
      <c r="B13" s="74" t="inlineStr">
        <is>
          <t>Wealth sources (money in)</t>
        </is>
      </c>
      <c r="C13" s="74" t="inlineStr">
        <is>
          <t>Loot from destroyed ships / planets, peace settlements, selling items to planets.</t>
        </is>
      </c>
      <c r="D13" s="74" t="inlineStr">
        <is>
          <t>'Wealth sources' = where money comes from.</t>
        </is>
      </c>
      <c r="E13" s="74" t="n"/>
      <c r="F13" s="74" t="inlineStr">
        <is>
          <t>Q-14</t>
        </is>
      </c>
      <c r="G13" s="74" t="inlineStr">
        <is>
          <t>Ans Q-14; Claude</t>
        </is>
      </c>
      <c r="H13" s="74" t="inlineStr">
        <is>
          <t>Proposed</t>
        </is>
      </c>
    </row>
    <row r="14" ht="35.05" customHeight="1" s="67">
      <c r="A14" s="74" t="inlineStr">
        <is>
          <t>TR-08</t>
        </is>
      </c>
      <c r="B14" s="74" t="inlineStr">
        <is>
          <t>Wealth sinks (money out)</t>
        </is>
      </c>
      <c r="C14" s="74" t="inlineStr">
        <is>
          <t>Food and water every few turns, torpedoes, elements, buying ships. Without sinks money only piles up and the endgame threshold is just a timer.</t>
        </is>
      </c>
      <c r="D14" s="74" t="inlineStr">
        <is>
          <t>'Wealth sinks' = things you must spend on.</t>
        </is>
      </c>
      <c r="E14" s="74" t="n"/>
      <c r="F14" s="74" t="inlineStr">
        <is>
          <t>Q-14</t>
        </is>
      </c>
      <c r="G14" s="74" t="inlineStr">
        <is>
          <t>Claude</t>
        </is>
      </c>
      <c r="H14" s="74" t="inlineStr">
        <is>
          <t>Proposed</t>
        </is>
      </c>
    </row>
    <row r="15" ht="23.85" customHeight="1" s="67">
      <c r="A15" s="74" t="inlineStr">
        <is>
          <t>TR-09</t>
        </is>
      </c>
      <c r="B15" s="74" t="inlineStr">
        <is>
          <t>Respect from trade</t>
        </is>
      </c>
      <c r="C15" s="74" t="inlineStr">
        <is>
          <t>Any accepted trade → respect +; acquiring a special item → respect +.</t>
        </is>
      </c>
      <c r="D15" s="74" t="n"/>
      <c r="E15" s="74" t="inlineStr">
        <is>
          <t>[respect] trade_accepted_delta, special_item_delta</t>
        </is>
      </c>
      <c r="F15" s="74" t="n"/>
      <c r="G15" s="74" t="inlineStr">
        <is>
          <t>BP r102–103</t>
        </is>
      </c>
      <c r="H15" s="74" t="inlineStr">
        <is>
          <t>Agreed</t>
        </is>
      </c>
    </row>
    <row r="16" ht="15" customHeight="1" s="67">
      <c r="A16" s="74" t="inlineStr">
        <is>
          <t>TR-10</t>
        </is>
      </c>
      <c r="B16" s="74" t="inlineStr">
        <is>
          <t>After mastery</t>
        </is>
      </c>
      <c r="C16" s="74" t="inlineStr">
        <is>
          <t>Every planet trades (and at base prices).</t>
        </is>
      </c>
      <c r="D16" s="74" t="n"/>
      <c r="E16" s="74" t="n"/>
      <c r="F16" s="74" t="inlineStr">
        <is>
          <t>Q-37</t>
        </is>
      </c>
      <c r="G16" s="74" t="inlineStr">
        <is>
          <t>Ans Q-37</t>
        </is>
      </c>
      <c r="H16" s="74" t="inlineStr">
        <is>
          <t>Agreed</t>
        </is>
      </c>
    </row>
    <row r="17" ht="15" customHeight="1" s="67">
      <c r="A17" s="74" t="n"/>
      <c r="B17" s="74" t="n"/>
      <c r="C17" s="74" t="n"/>
      <c r="D17" s="74" t="n"/>
      <c r="E17" s="74" t="n"/>
      <c r="F17" s="74" t="n"/>
      <c r="G17" s="74" t="n"/>
      <c r="H17" s="74" t="n"/>
    </row>
    <row r="19" ht="15" customHeight="1" s="67">
      <c r="A19" s="121" t="inlineStr">
        <is>
          <t>Upgrade map — which element improves which component</t>
        </is>
      </c>
    </row>
    <row r="20" ht="15" customHeight="1" s="67">
      <c r="A20" s="77" t="inlineStr">
        <is>
          <t>Agreed as a configurable table: the structure is fixed, every number is read from controls_config.ini [upgrades]. Values here are placeholders. Caps keep every stat ≤ its max.</t>
        </is>
      </c>
    </row>
    <row r="21" ht="15" customHeight="1" s="67">
      <c r="A21" s="122" t="inlineStr">
        <is>
          <t>ID</t>
        </is>
      </c>
      <c r="B21" s="122" t="inlineStr">
        <is>
          <t>Component</t>
        </is>
      </c>
      <c r="C21" s="122" t="inlineStr">
        <is>
          <t>Improving elements</t>
        </is>
      </c>
      <c r="D21" s="122" t="inlineStr">
        <is>
          <t>Effect per unit</t>
        </is>
      </c>
      <c r="E21" s="122" t="inlineStr">
        <is>
          <t>Cap</t>
        </is>
      </c>
      <c r="F21" s="122" t="inlineStr">
        <is>
          <t>Open Q</t>
        </is>
      </c>
      <c r="G21" s="122" t="inlineStr">
        <is>
          <t>Origin</t>
        </is>
      </c>
      <c r="H21" s="122" t="inlineStr">
        <is>
          <t>Status</t>
        </is>
      </c>
    </row>
    <row r="22" ht="23.85" customHeight="1" s="67">
      <c r="A22" s="74" t="inlineStr">
        <is>
          <t>UP-01</t>
        </is>
      </c>
      <c r="B22" s="74" t="inlineStr">
        <is>
          <t>Torpedoes</t>
        </is>
      </c>
      <c r="C22" s="74" t="inlineStr">
        <is>
          <t>Iridium +4 · Positronium +10</t>
        </is>
      </c>
      <c r="D22" s="74" t="inlineStr">
        <is>
          <t>ammo count</t>
        </is>
      </c>
      <c r="E22" s="74" t="inlineStr">
        <is>
          <t>none</t>
        </is>
      </c>
      <c r="F22" s="74" t="inlineStr">
        <is>
          <t>Q-14</t>
        </is>
      </c>
      <c r="G22" s="74" t="inlineStr">
        <is>
          <t>Chat A17; Claude (values)</t>
        </is>
      </c>
      <c r="H22" s="74" t="inlineStr">
        <is>
          <t>Agreed</t>
        </is>
      </c>
    </row>
    <row r="23" ht="23.85" customHeight="1" s="67">
      <c r="A23" s="74" t="inlineStr">
        <is>
          <t>UP-02</t>
        </is>
      </c>
      <c r="B23" s="74" t="inlineStr">
        <is>
          <t>Phasers</t>
        </is>
      </c>
      <c r="C23" s="74" t="inlineStr">
        <is>
          <t>Osmium +0.5 · Sunstone +1 · Adamantine +2</t>
        </is>
      </c>
      <c r="D23" s="74" t="inlineStr">
        <is>
          <t>phaser power</t>
        </is>
      </c>
      <c r="E23" s="74" t="inlineStr">
        <is>
          <t>10</t>
        </is>
      </c>
      <c r="F23" s="74" t="inlineStr">
        <is>
          <t>Q-14</t>
        </is>
      </c>
      <c r="G23" s="74" t="inlineStr">
        <is>
          <t>Chat A17; Claude (values)</t>
        </is>
      </c>
      <c r="H23" s="74" t="inlineStr">
        <is>
          <t>Agreed</t>
        </is>
      </c>
    </row>
    <row r="24" ht="23.85" customHeight="1" s="67">
      <c r="A24" s="74" t="inlineStr">
        <is>
          <t>UP-03</t>
        </is>
      </c>
      <c r="B24" s="74" t="inlineStr">
        <is>
          <t>Shields (max)</t>
        </is>
      </c>
      <c r="C24" s="74" t="inlineStr">
        <is>
          <t>Rhodium +5 · Sapphire +10 · Orichalcum +25</t>
        </is>
      </c>
      <c r="D24" s="74" t="inlineStr">
        <is>
          <t>shield_max</t>
        </is>
      </c>
      <c r="E24" s="74" t="inlineStr">
        <is>
          <t>100</t>
        </is>
      </c>
      <c r="F24" s="74" t="inlineStr">
        <is>
          <t>Q-14</t>
        </is>
      </c>
      <c r="G24" s="74" t="inlineStr">
        <is>
          <t>Chat A17; Claude (values)</t>
        </is>
      </c>
      <c r="H24" s="74" t="inlineStr">
        <is>
          <t>Agreed</t>
        </is>
      </c>
    </row>
    <row r="25" ht="23.85" customHeight="1" s="67">
      <c r="A25" s="74" t="inlineStr">
        <is>
          <t>UP-04</t>
        </is>
      </c>
      <c r="B25" s="74" t="inlineStr">
        <is>
          <t>Engine</t>
        </is>
      </c>
      <c r="C25" s="74" t="inlineStr">
        <is>
          <t>Moonstone +0.5 · Star-iron +1.5</t>
        </is>
      </c>
      <c r="D25" s="74" t="inlineStr">
        <is>
          <t>engine_power</t>
        </is>
      </c>
      <c r="E25" s="74" t="inlineStr">
        <is>
          <t>10</t>
        </is>
      </c>
      <c r="F25" s="74" t="inlineStr">
        <is>
          <t>Q-14</t>
        </is>
      </c>
      <c r="G25" s="74" t="inlineStr">
        <is>
          <t>Chat A17; Claude (values)</t>
        </is>
      </c>
      <c r="H25" s="74" t="inlineStr">
        <is>
          <t>Agreed</t>
        </is>
      </c>
    </row>
    <row r="26" ht="23.85" customHeight="1" s="67">
      <c r="A26" s="74" t="inlineStr">
        <is>
          <t>UP-05</t>
        </is>
      </c>
      <c r="B26" s="74" t="inlineStr">
        <is>
          <t>Warp core</t>
        </is>
      </c>
      <c r="C26" s="74" t="inlineStr">
        <is>
          <t>Antihydrogen +0.5 · Aetherite +1.5</t>
        </is>
      </c>
      <c r="D26" s="74" t="inlineStr">
        <is>
          <t>warpcore_power</t>
        </is>
      </c>
      <c r="E26" s="74" t="inlineStr">
        <is>
          <t>10</t>
        </is>
      </c>
      <c r="F26" s="74" t="inlineStr">
        <is>
          <t>Q-14</t>
        </is>
      </c>
      <c r="G26" s="74" t="inlineStr">
        <is>
          <t>Chat A17; Claude (values)</t>
        </is>
      </c>
      <c r="H26" s="74" t="inlineStr">
        <is>
          <t>Agreed</t>
        </is>
      </c>
    </row>
    <row r="27" ht="15" customHeight="1" s="67">
      <c r="A27" s="74" t="n"/>
      <c r="B27" s="74" t="n"/>
      <c r="C27" s="74" t="n"/>
      <c r="D27" s="74" t="n"/>
      <c r="E27" s="74" t="n"/>
      <c r="F27" s="74" t="n"/>
      <c r="G27" s="74" t="n"/>
      <c r="H27" s="74" t="n"/>
    </row>
    <row r="29" ht="15" customHeight="1" s="67">
      <c r="A29" s="121" t="inlineStr">
        <is>
          <t>Price list (silver) — read from controls_config.ini [prices]</t>
        </is>
      </c>
    </row>
    <row r="30" ht="15" customHeight="1" s="67">
      <c r="A30" s="77" t="inlineStr">
        <is>
          <t>Structure agreed; values are placeholders configurable outside the game (Chat A17).</t>
        </is>
      </c>
    </row>
    <row r="31" ht="15" customHeight="1" s="67">
      <c r="A31" s="122" t="inlineStr">
        <is>
          <t>ID</t>
        </is>
      </c>
      <c r="B31" s="122" t="inlineStr">
        <is>
          <t>Good</t>
        </is>
      </c>
      <c r="C31" s="122" t="inlineStr">
        <is>
          <t>Buy price</t>
        </is>
      </c>
      <c r="D31" s="122" t="inlineStr">
        <is>
          <t>Sell price (planet pays)</t>
        </is>
      </c>
      <c r="E31" s="122" t="inlineStr">
        <is>
          <t>Config key</t>
        </is>
      </c>
      <c r="F31" s="122" t="inlineStr">
        <is>
          <t>Open Q</t>
        </is>
      </c>
      <c r="G31" s="122" t="inlineStr">
        <is>
          <t>Origin</t>
        </is>
      </c>
      <c r="H31" s="122" t="inlineStr">
        <is>
          <t>Status</t>
        </is>
      </c>
    </row>
    <row r="32" ht="23.85" customHeight="1" s="67">
      <c r="A32" s="74" t="inlineStr">
        <is>
          <t>PRC-01</t>
        </is>
      </c>
      <c r="B32" s="74" t="inlineStr">
        <is>
          <t>Food (1 unit)</t>
        </is>
      </c>
      <c r="C32" s="74" t="inlineStr">
        <is>
          <t>2</t>
        </is>
      </c>
      <c r="D32" s="74" t="inlineStr">
        <is>
          <t>1</t>
        </is>
      </c>
      <c r="E32" s="74" t="inlineStr">
        <is>
          <t>[prices] food_buy, food_sell</t>
        </is>
      </c>
      <c r="F32" s="74" t="inlineStr">
        <is>
          <t>Q-14</t>
        </is>
      </c>
      <c r="G32" s="74" t="inlineStr">
        <is>
          <t>Chat A17; Claude (values)</t>
        </is>
      </c>
      <c r="H32" s="74" t="inlineStr">
        <is>
          <t>Agreed</t>
        </is>
      </c>
    </row>
    <row r="33" ht="23.85" customHeight="1" s="67">
      <c r="A33" s="74" t="inlineStr">
        <is>
          <t>PRC-02</t>
        </is>
      </c>
      <c r="B33" s="74" t="inlineStr">
        <is>
          <t>Water (1 unit)</t>
        </is>
      </c>
      <c r="C33" s="74" t="inlineStr">
        <is>
          <t>2</t>
        </is>
      </c>
      <c r="D33" s="74" t="inlineStr">
        <is>
          <t>1</t>
        </is>
      </c>
      <c r="E33" s="74" t="inlineStr">
        <is>
          <t>[prices] water_buy, water_sell</t>
        </is>
      </c>
      <c r="F33" s="74" t="inlineStr">
        <is>
          <t>Q-14</t>
        </is>
      </c>
      <c r="G33" s="74" t="inlineStr">
        <is>
          <t>Chat A17; Claude (values)</t>
        </is>
      </c>
      <c r="H33" s="74" t="inlineStr">
        <is>
          <t>Agreed</t>
        </is>
      </c>
    </row>
    <row r="34" ht="23.85" customHeight="1" s="67">
      <c r="A34" s="74" t="inlineStr">
        <is>
          <t>PRC-03</t>
        </is>
      </c>
      <c r="B34" s="74" t="inlineStr">
        <is>
          <t>Torpedo (1)</t>
        </is>
      </c>
      <c r="C34" s="74" t="inlineStr">
        <is>
          <t>10</t>
        </is>
      </c>
      <c r="D34" s="74" t="inlineStr">
        <is>
          <t>5</t>
        </is>
      </c>
      <c r="E34" s="74" t="inlineStr">
        <is>
          <t>[prices] torpedo_buy, torpedo_sell</t>
        </is>
      </c>
      <c r="F34" s="74" t="inlineStr">
        <is>
          <t>Q-14</t>
        </is>
      </c>
      <c r="G34" s="74" t="inlineStr">
        <is>
          <t>Chat A17; Claude (values)</t>
        </is>
      </c>
      <c r="H34" s="74" t="inlineStr">
        <is>
          <t>Agreed</t>
        </is>
      </c>
    </row>
    <row r="35" ht="23.85" customHeight="1" s="67">
      <c r="A35" s="74" t="inlineStr">
        <is>
          <t>PRC-04</t>
        </is>
      </c>
      <c r="B35" s="74" t="inlineStr">
        <is>
          <t>Elements</t>
        </is>
      </c>
      <c r="C35" s="74" t="inlineStr">
        <is>
          <t>value from [elements]</t>
        </is>
      </c>
      <c r="D35" s="74" t="inlineStr">
        <is>
          <t>element_sell_pct of value (60%)</t>
        </is>
      </c>
      <c r="E35" s="74" t="inlineStr">
        <is>
          <t>[prices] element_sell_pct</t>
        </is>
      </c>
      <c r="F35" s="74" t="inlineStr">
        <is>
          <t>Q-14</t>
        </is>
      </c>
      <c r="G35" s="74" t="inlineStr">
        <is>
          <t>Chat A17; Claude (values)</t>
        </is>
      </c>
      <c r="H35" s="74" t="inlineStr">
        <is>
          <t>Agreed</t>
        </is>
      </c>
    </row>
    <row r="36" ht="23.85" customHeight="1" s="67">
      <c r="A36" s="74" t="inlineStr">
        <is>
          <t>PRC-05</t>
        </is>
      </c>
      <c r="B36" s="74" t="inlineStr">
        <is>
          <t>Ship (Kestrel / Corsair)</t>
        </is>
      </c>
      <c r="C36" s="74" t="inlineStr">
        <is>
          <t>40 gold / 120 gold</t>
        </is>
      </c>
      <c r="D36" s="74" t="inlineStr">
        <is>
          <t>—</t>
        </is>
      </c>
      <c r="E36" s="74" t="inlineStr">
        <is>
          <t>[prices] ship_&lt;class&gt;</t>
        </is>
      </c>
      <c r="F36" s="74" t="inlineStr">
        <is>
          <t>Q-13</t>
        </is>
      </c>
      <c r="G36" s="74" t="inlineStr">
        <is>
          <t>Chat A17; Claude (values)</t>
        </is>
      </c>
      <c r="H36" s="74" t="inlineStr">
        <is>
          <t>Agreed</t>
        </is>
      </c>
    </row>
    <row r="37" ht="15" customHeight="1" s="67">
      <c r="A37" s="74" t="n"/>
      <c r="B37" s="74" t="n"/>
      <c r="C37" s="74" t="n"/>
      <c r="D37" s="74" t="n"/>
      <c r="E37" s="74" t="n"/>
      <c r="F37" s="74" t="n"/>
      <c r="G37" s="74" t="n"/>
      <c r="H37" s="74" t="n"/>
    </row>
  </sheetData>
  <autoFilter ref="A6:H17"/>
  <mergeCells count="5">
    <mergeCell ref="A30:H30"/>
    <mergeCell ref="A29:H29"/>
    <mergeCell ref="A20:H20"/>
    <mergeCell ref="A19:H19"/>
    <mergeCell ref="A5:H5"/>
  </mergeCells>
  <conditionalFormatting sqref="H7:H17">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H22:H27">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H32:H37">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dataValidations count="1">
    <dataValidation sqref="H7:H17 H22:H27 H32:H37"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C55A11"/>
    <outlinePr summaryBelow="1" summaryRight="1"/>
    <pageSetUpPr fitToPage="1"/>
  </sheetPr>
  <dimension ref="A1:I30"/>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0" customWidth="1" style="66" min="2" max="2"/>
    <col width="34" customWidth="1" style="66" min="3" max="3"/>
    <col width="40" customWidth="1" style="66" min="4" max="4"/>
    <col width="30" customWidth="1" style="66" min="5" max="5"/>
    <col width="22" customWidth="1" style="66" min="6" max="6"/>
    <col width="10" customWidth="1" style="66" min="7" max="7"/>
    <col width="14" customWidth="1" style="66" min="8" max="8"/>
    <col width="13" customWidth="1" style="66" min="9" max="9"/>
  </cols>
  <sheetData>
    <row r="1" ht="17.35" customHeight="1" s="67">
      <c r="A1" s="68" t="inlineStr">
        <is>
          <t>13 · Combat</t>
        </is>
      </c>
    </row>
    <row r="2" ht="15" customHeight="1" s="67">
      <c r="A2" s="69" t="inlineStr">
        <is>
          <t>The recommended combat model (Q-12) and the outcomes from the blueprint</t>
        </is>
      </c>
    </row>
    <row r="3" ht="15" customHeight="1" s="67">
      <c r="A3" s="70">
        <f>HYPERLINK("#'0 Index'!A1","↩ Index")</f>
        <v/>
      </c>
    </row>
    <row r="5" ht="15" customHeight="1" s="67">
      <c r="A5" s="121" t="inlineStr">
        <is>
          <t>Outcomes</t>
        </is>
      </c>
    </row>
    <row r="6" ht="15" customHeight="1" s="67">
      <c r="A6" s="122" t="inlineStr">
        <is>
          <t>ID</t>
        </is>
      </c>
      <c r="B6" s="122" t="inlineStr">
        <is>
          <t>Outcome</t>
        </is>
      </c>
      <c r="C6" s="122" t="inlineStr">
        <is>
          <t>Condition</t>
        </is>
      </c>
      <c r="D6" s="122" t="inlineStr">
        <is>
          <t>Transfer to winner</t>
        </is>
      </c>
      <c r="E6" s="122" t="inlineStr">
        <is>
          <t>Notes</t>
        </is>
      </c>
      <c r="F6" s="122" t="inlineStr">
        <is>
          <t>Config key</t>
        </is>
      </c>
      <c r="G6" s="122" t="inlineStr">
        <is>
          <t>Open Q</t>
        </is>
      </c>
      <c r="H6" s="122" t="inlineStr">
        <is>
          <t>Origin</t>
        </is>
      </c>
      <c r="I6" s="122" t="inlineStr">
        <is>
          <t>Status</t>
        </is>
      </c>
    </row>
    <row r="7" ht="35.05" customHeight="1" s="67">
      <c r="A7" s="74" t="inlineStr">
        <is>
          <t>CB-01</t>
        </is>
      </c>
      <c r="B7" s="74" t="inlineStr">
        <is>
          <t>Destroy</t>
        </is>
      </c>
      <c r="C7" s="74" t="inlineStr">
        <is>
          <t>Target's shields at 0 and it takes a hit</t>
        </is>
      </c>
      <c r="D7" s="74" t="inlineStr">
        <is>
          <t>All items and coins; torpedoes added; phasers, engine and warp = max(own, victim's), capped at 10; shields not transferred.</t>
        </is>
      </c>
      <c r="E7" s="74" t="inlineStr">
        <is>
          <t>max() rather than adding stops stats racing past 10 (your Q-12 point).</t>
        </is>
      </c>
      <c r="F7" s="74" t="n"/>
      <c r="G7" s="74" t="inlineStr">
        <is>
          <t>Q-12</t>
        </is>
      </c>
      <c r="H7" s="74" t="inlineStr">
        <is>
          <t>BP r106; Claude</t>
        </is>
      </c>
      <c r="I7" s="74" t="inlineStr">
        <is>
          <t>Proposed</t>
        </is>
      </c>
    </row>
    <row r="8" ht="23.85" customHeight="1" s="67">
      <c r="A8" s="74" t="inlineStr">
        <is>
          <t>CB-02</t>
        </is>
      </c>
      <c r="B8" s="74" t="inlineStr">
        <is>
          <t>Escape</t>
        </is>
      </c>
      <c r="C8" s="74" t="inlineStr">
        <is>
          <t>Escaper ends the movement phase outside every enemy's weapon range</t>
        </is>
      </c>
      <c r="D8" s="74" t="inlineStr">
        <is>
          <t>Nothing.</t>
        </is>
      </c>
      <c r="E8" s="74" t="inlineStr">
        <is>
          <t>Deterministic — depends on engine vs ranges and pull.</t>
        </is>
      </c>
      <c r="F8" s="74" t="n"/>
      <c r="G8" s="74" t="inlineStr">
        <is>
          <t>Q-12</t>
        </is>
      </c>
      <c r="H8" s="74" t="inlineStr">
        <is>
          <t>BP r107; Claude</t>
        </is>
      </c>
      <c r="I8" s="74" t="inlineStr">
        <is>
          <t>Proposed</t>
        </is>
      </c>
    </row>
    <row r="9" ht="46.25" customHeight="1" s="67">
      <c r="A9" s="74" t="inlineStr">
        <is>
          <t>CB-03</t>
        </is>
      </c>
      <c r="B9" s="74" t="inlineStr">
        <is>
          <t>Peace</t>
        </is>
      </c>
      <c r="C9" s="74" t="inlineStr">
        <is>
          <t>One side offers, the other accepts</t>
        </is>
      </c>
      <c r="D9" s="74" t="inlineStr">
        <is>
          <t>Victor = the side that did NOT offer. X = max(0, (V_shields − L_shields) / V_shields) × peace_loot_max; X% of the loser's items and coins go to the victor.</t>
        </is>
      </c>
      <c r="E9" s="74" t="inlineStr">
        <is>
          <t>If the victor's shields are lower, X = 0 — peace with nothing transferred.</t>
        </is>
      </c>
      <c r="F9" s="74" t="inlineStr">
        <is>
          <t>[battle] peace_loot_max = 50</t>
        </is>
      </c>
      <c r="G9" s="74" t="inlineStr">
        <is>
          <t>Q-12, Q-21</t>
        </is>
      </c>
      <c r="H9" s="74" t="inlineStr">
        <is>
          <t>BP r108; Ans Q-21; Chat A12</t>
        </is>
      </c>
      <c r="I9" s="74" t="inlineStr">
        <is>
          <t>Agreed</t>
        </is>
      </c>
    </row>
    <row r="10" ht="23.85" customHeight="1" s="67">
      <c r="A10" s="74" t="inlineStr">
        <is>
          <t>CB-04</t>
        </is>
      </c>
      <c r="B10" s="74" t="inlineStr">
        <is>
          <t>Player loses</t>
        </is>
      </c>
      <c r="C10" s="74" t="inlineStr">
        <is>
          <t>Player's active ship destroyed</t>
        </is>
      </c>
      <c r="D10" s="74" t="inlineStr">
        <is>
          <t>— game over; start again.</t>
        </is>
      </c>
      <c r="E10" s="74" t="n"/>
      <c r="F10" s="74" t="n"/>
      <c r="G10" s="74" t="inlineStr">
        <is>
          <t>Q-29</t>
        </is>
      </c>
      <c r="H10" s="74" t="inlineStr">
        <is>
          <t>Ans Q-29; Chat A10</t>
        </is>
      </c>
      <c r="I10" s="74" t="inlineStr">
        <is>
          <t>Agreed</t>
        </is>
      </c>
    </row>
    <row r="11" ht="15" customHeight="1" s="67">
      <c r="A11" s="74" t="n"/>
      <c r="B11" s="74" t="n"/>
      <c r="C11" s="74" t="n"/>
      <c r="D11" s="74" t="n"/>
      <c r="E11" s="74" t="n"/>
      <c r="F11" s="74" t="n"/>
      <c r="G11" s="74" t="n"/>
      <c r="H11" s="74" t="n"/>
      <c r="I11" s="74" t="n"/>
    </row>
    <row r="13" ht="15" customHeight="1" s="67">
      <c r="A13" s="121" t="inlineStr">
        <is>
          <t>Combat model — recommendation</t>
        </is>
      </c>
    </row>
    <row r="14" ht="15" customHeight="1" s="67">
      <c r="A14" s="77" t="inlineStr">
        <is>
          <t>One exchange per turn; battle = being in weapon range. Alternatives and failure modes in the notes.</t>
        </is>
      </c>
    </row>
    <row r="15" ht="15" customHeight="1" s="67">
      <c r="A15" s="122" t="inlineStr">
        <is>
          <t>ID</t>
        </is>
      </c>
      <c r="B15" s="122" t="inlineStr">
        <is>
          <t>Aspect</t>
        </is>
      </c>
      <c r="C15" s="122" t="inlineStr">
        <is>
          <t>Recommendation</t>
        </is>
      </c>
      <c r="D15" s="122" t="inlineStr">
        <is>
          <t>Why</t>
        </is>
      </c>
      <c r="E15" s="122" t="inlineStr">
        <is>
          <t>Alternative / how it fails</t>
        </is>
      </c>
      <c r="F15" s="122" t="inlineStr">
        <is>
          <t>Config key</t>
        </is>
      </c>
      <c r="G15" s="122" t="inlineStr">
        <is>
          <t>Open Q</t>
        </is>
      </c>
      <c r="H15" s="122" t="inlineStr">
        <is>
          <t>Origin</t>
        </is>
      </c>
      <c r="I15" s="122" t="inlineStr">
        <is>
          <t>Status</t>
        </is>
      </c>
    </row>
    <row r="16" ht="35.05" customHeight="1" s="67">
      <c r="A16" s="74" t="inlineStr">
        <is>
          <t>CM-01</t>
        </is>
      </c>
      <c r="B16" s="74" t="inlineStr">
        <is>
          <t>Starting a fight</t>
        </is>
      </c>
      <c r="C16" s="74" t="inlineStr">
        <is>
          <t>Any 'fire' order on a target not already in battle with you starts one; costs respect; asks for confirmation.</t>
        </is>
      </c>
      <c r="D16" s="74" t="n"/>
      <c r="E16" s="74" t="n"/>
      <c r="F16" s="74" t="inlineStr">
        <is>
          <t>[respect] start_fight_delta</t>
        </is>
      </c>
      <c r="G16" s="74" t="inlineStr">
        <is>
          <t>Q-23</t>
        </is>
      </c>
      <c r="H16" s="74" t="inlineStr">
        <is>
          <t>BP r100; Ans Q-34</t>
        </is>
      </c>
      <c r="I16" s="74" t="inlineStr">
        <is>
          <t>Agreed</t>
        </is>
      </c>
    </row>
    <row r="17" ht="35.05" customHeight="1" s="67">
      <c r="A17" s="74" t="inlineStr">
        <is>
          <t>CM-02</t>
        </is>
      </c>
      <c r="B17" s="74" t="inlineStr">
        <is>
          <t>Range</t>
        </is>
      </c>
      <c r="C17" s="74" t="inlineStr">
        <is>
          <t>Phasers 2 cells, torpedoes 5 cells (Chebyshev). Being inside any enemy's range = in battle.</t>
        </is>
      </c>
      <c r="D17" s="74" t="inlineStr">
        <is>
          <t>Gives escape a meaning without dice.</t>
        </is>
      </c>
      <c r="E17" s="74" t="inlineStr">
        <is>
          <t>[ALTERNATIVE] same-cell only — too binary with 24 × 24 sectors.</t>
        </is>
      </c>
      <c r="F17" s="74" t="inlineStr">
        <is>
          <t>[battle] phaser_range = 2, torpedo_range = 5</t>
        </is>
      </c>
      <c r="G17" s="74" t="inlineStr">
        <is>
          <t>Q-12</t>
        </is>
      </c>
      <c r="H17" s="74" t="inlineStr">
        <is>
          <t>Claude</t>
        </is>
      </c>
      <c r="I17" s="74" t="inlineStr">
        <is>
          <t>Proposed</t>
        </is>
      </c>
    </row>
    <row r="18" ht="57.45" customHeight="1" s="67">
      <c r="A18" s="74" t="inlineStr">
        <is>
          <t>CM-03</t>
        </is>
      </c>
      <c r="B18" s="74" t="inlineStr">
        <is>
          <t>Torpedoes</t>
        </is>
      </c>
      <c r="C18" s="74" t="inlineStr">
        <is>
          <t>Ammo; each fired torpedo hits with p = 0.7 − 0.03 × target engine; damage 25.</t>
        </is>
      </c>
      <c r="D18" s="74" t="inlineStr">
        <is>
          <t>Fast ships dodge.</t>
        </is>
      </c>
      <c r="E18" s="74" t="inlineStr">
        <is>
          <t>[RISK] randomness in a deterministic game — keep the seed in the RNG so replays match.</t>
        </is>
      </c>
      <c r="F18" s="74" t="inlineStr">
        <is>
          <t>[battle] torpedo_hit_base = 0.7, torpedo_evade_per_engine = 0.03, torpedo_damage = 25</t>
        </is>
      </c>
      <c r="G18" s="74" t="inlineStr">
        <is>
          <t>Q-12</t>
        </is>
      </c>
      <c r="H18" s="74" t="inlineStr">
        <is>
          <t>Claude</t>
        </is>
      </c>
      <c r="I18" s="74" t="inlineStr">
        <is>
          <t>Proposed</t>
        </is>
      </c>
    </row>
    <row r="19" ht="35.05" customHeight="1" s="67">
      <c r="A19" s="74" t="inlineStr">
        <is>
          <t>CM-04</t>
        </is>
      </c>
      <c r="B19" s="74" t="inlineStr">
        <is>
          <t>Phasers</t>
        </is>
      </c>
      <c r="C19" s="74" t="inlineStr">
        <is>
          <t>Always hit; damage = phasers × 5 × (1 − distance / 3).</t>
        </is>
      </c>
      <c r="D19" s="74" t="inlineStr">
        <is>
          <t>Reliable close-range weapon.</t>
        </is>
      </c>
      <c r="E19" s="74" t="n"/>
      <c r="F19" s="74" t="inlineStr">
        <is>
          <t>[battle] phaser_damage_per_unit = 5</t>
        </is>
      </c>
      <c r="G19" s="74" t="inlineStr">
        <is>
          <t>Q-12</t>
        </is>
      </c>
      <c r="H19" s="74" t="inlineStr">
        <is>
          <t>Claude</t>
        </is>
      </c>
      <c r="I19" s="74" t="inlineStr">
        <is>
          <t>Proposed</t>
        </is>
      </c>
    </row>
    <row r="20" ht="35.05" customHeight="1" s="67">
      <c r="A20" s="74" t="inlineStr">
        <is>
          <t>CM-05</t>
        </is>
      </c>
      <c r="B20" s="74" t="inlineStr">
        <is>
          <t>Shields</t>
        </is>
      </c>
      <c r="C20" s="74" t="inlineStr">
        <is>
          <t>Absorb all damage; at 0 the next hit destroys (Q-03). Recharge 5 / turn outside battle and hazards.</t>
        </is>
      </c>
      <c r="D20" s="74" t="n"/>
      <c r="E20" s="74" t="n"/>
      <c r="F20" s="74" t="inlineStr">
        <is>
          <t>[battle] shield_recharge = 5</t>
        </is>
      </c>
      <c r="G20" s="74" t="inlineStr">
        <is>
          <t>Q-03</t>
        </is>
      </c>
      <c r="H20" s="74" t="inlineStr">
        <is>
          <t>Ans Q-03; Claude</t>
        </is>
      </c>
      <c r="I20" s="74" t="inlineStr">
        <is>
          <t>Proposed</t>
        </is>
      </c>
    </row>
    <row r="21" ht="35.05" customHeight="1" s="67">
      <c r="A21" s="74" t="inlineStr">
        <is>
          <t>CM-06</t>
        </is>
      </c>
      <c r="B21" s="74" t="inlineStr">
        <is>
          <t>Exchange order</t>
        </is>
      </c>
      <c r="C21" s="74" t="inlineStr">
        <is>
          <t>Per turn: all torpedoes resolve, then phasers, simultaneously for both sides; destruction checked after.</t>
        </is>
      </c>
      <c r="D21" s="74" t="inlineStr">
        <is>
          <t>Both sides can die in the same exchange — rare, dramatic, fair.</t>
        </is>
      </c>
      <c r="E21" s="74" t="n"/>
      <c r="F21" s="74" t="n"/>
      <c r="G21" s="74" t="inlineStr">
        <is>
          <t>Q-01</t>
        </is>
      </c>
      <c r="H21" s="74" t="inlineStr">
        <is>
          <t>Claude</t>
        </is>
      </c>
      <c r="I21" s="74" t="inlineStr">
        <is>
          <t>Proposed</t>
        </is>
      </c>
    </row>
    <row r="22" ht="35.05" customHeight="1" s="67">
      <c r="A22" s="74" t="inlineStr">
        <is>
          <t>CM-07</t>
        </is>
      </c>
      <c r="B22" s="74" t="inlineStr">
        <is>
          <t>Rounds per turn</t>
        </is>
      </c>
      <c r="C22" s="74" t="inlineStr">
        <is>
          <t>One exchange per turn; a battle spans several turns.</t>
        </is>
      </c>
      <c r="D22" s="74" t="inlineStr">
        <is>
          <t>Gives time to escape or sue for peace — matches 'battle every 5–7 turns' pacing.</t>
        </is>
      </c>
      <c r="E22" s="74" t="inlineStr">
        <is>
          <t>[ALTERNATIVE] resolve to the end in one turn — no decisions mid-battle.</t>
        </is>
      </c>
      <c r="F22" s="74" t="n"/>
      <c r="G22" s="74" t="inlineStr">
        <is>
          <t>Q-12</t>
        </is>
      </c>
      <c r="H22" s="74" t="inlineStr">
        <is>
          <t>Claude</t>
        </is>
      </c>
      <c r="I22" s="74" t="inlineStr">
        <is>
          <t>Proposed</t>
        </is>
      </c>
    </row>
    <row r="23" ht="46.25" customHeight="1" s="67">
      <c r="A23" s="74" t="inlineStr">
        <is>
          <t>CM-08</t>
        </is>
      </c>
      <c r="B23" s="74" t="inlineStr">
        <is>
          <t>Opponent strength</t>
        </is>
      </c>
      <c r="C23" s="74" t="inlineStr">
        <is>
          <t>strength = Σ over the fleet of (shield_current + torpedoes × 25 + phasers × 5 × 3). Stronger = strength ratio &gt; 1.0.</t>
        </is>
      </c>
      <c r="D23" s="74" t="inlineStr">
        <is>
          <t>Shields and weapons, fleet included (your Q-22).</t>
        </is>
      </c>
      <c r="E23" s="74" t="n"/>
      <c r="F23" s="74" t="n"/>
      <c r="G23" s="74" t="inlineStr">
        <is>
          <t>Q-22</t>
        </is>
      </c>
      <c r="H23" s="74" t="inlineStr">
        <is>
          <t>Ans Q-22; Claude</t>
        </is>
      </c>
      <c r="I23" s="74" t="inlineStr">
        <is>
          <t>Proposed</t>
        </is>
      </c>
    </row>
    <row r="24" ht="35.05" customHeight="1" s="67">
      <c r="A24" s="74" t="inlineStr">
        <is>
          <t>CM-09</t>
        </is>
      </c>
      <c r="B24" s="74" t="inlineStr">
        <is>
          <t>Peace offers</t>
        </is>
      </c>
      <c r="C24" s="74" t="inlineStr">
        <is>
          <t>Either side may offer each turn; the other side's next order accepts or rejects; rejecting costs nothing.</t>
        </is>
      </c>
      <c r="D24" s="74" t="n"/>
      <c r="E24" s="74" t="n"/>
      <c r="F24" s="74" t="n"/>
      <c r="G24" s="74" t="inlineStr">
        <is>
          <t>Q-12</t>
        </is>
      </c>
      <c r="H24" s="74" t="inlineStr">
        <is>
          <t>Claude</t>
        </is>
      </c>
      <c r="I24" s="74" t="inlineStr">
        <is>
          <t>Proposed</t>
        </is>
      </c>
    </row>
    <row r="25" ht="46.25" customHeight="1" s="67">
      <c r="A25" s="74" t="inlineStr">
        <is>
          <t>CM-10</t>
        </is>
      </c>
      <c r="B25" s="74" t="inlineStr">
        <is>
          <t>AI behaviour</t>
        </is>
      </c>
      <c r="C25" s="74" t="inlineStr">
        <is>
          <t>Attack if strength ratio ≥ 1.3 and the target's fear &lt; 50; offer peace when own shields &lt; 30% and weaker; try to escape when shields &lt; 15%.</t>
        </is>
      </c>
      <c r="D25" s="74" t="n"/>
      <c r="E25" s="74" t="inlineStr">
        <is>
          <t>[VERIFY] in playtest — this sets how often battles happen.</t>
        </is>
      </c>
      <c r="F25" s="74" t="inlineStr">
        <is>
          <t>[ai] *</t>
        </is>
      </c>
      <c r="G25" s="74" t="inlineStr">
        <is>
          <t>Q-13, Q-24</t>
        </is>
      </c>
      <c r="H25" s="74" t="inlineStr">
        <is>
          <t>Claude</t>
        </is>
      </c>
      <c r="I25" s="74" t="inlineStr">
        <is>
          <t>Proposed</t>
        </is>
      </c>
    </row>
    <row r="26" ht="35.05" customHeight="1" s="67">
      <c r="A26" s="74" t="inlineStr">
        <is>
          <t>CM-11</t>
        </is>
      </c>
      <c r="B26" s="74" t="inlineStr">
        <is>
          <t>Planets in combat</t>
        </is>
      </c>
      <c r="C26" s="74" t="inlineStr">
        <is>
          <t>Same rules; a planet cannot move or escape; destroyed planet is looted and removed.</t>
        </is>
      </c>
      <c r="D26" s="74" t="n"/>
      <c r="E26" s="74" t="n"/>
      <c r="F26" s="74" t="n"/>
      <c r="G26" s="74" t="inlineStr">
        <is>
          <t>Q-21</t>
        </is>
      </c>
      <c r="H26" s="74" t="inlineStr">
        <is>
          <t>Ans Q-21</t>
        </is>
      </c>
      <c r="I26" s="74" t="inlineStr">
        <is>
          <t>Agreed</t>
        </is>
      </c>
    </row>
    <row r="27" ht="23.85" customHeight="1" s="67">
      <c r="A27" s="74" t="inlineStr">
        <is>
          <t>CM-12</t>
        </is>
      </c>
      <c r="B27" s="74" t="inlineStr">
        <is>
          <t>Fleet in combat</t>
        </is>
      </c>
      <c r="C27" s="74" t="inlineStr">
        <is>
          <t>Every ship in range fights; the player gives each ship its own orders.</t>
        </is>
      </c>
      <c r="D27" s="74" t="n"/>
      <c r="E27" s="74" t="n"/>
      <c r="F27" s="74" t="n"/>
      <c r="G27" s="74" t="inlineStr">
        <is>
          <t>Q-13</t>
        </is>
      </c>
      <c r="H27" s="74" t="inlineStr">
        <is>
          <t>Ans Q-13</t>
        </is>
      </c>
      <c r="I27" s="74" t="inlineStr">
        <is>
          <t>Agreed</t>
        </is>
      </c>
    </row>
    <row r="28" ht="35.05" customHeight="1" s="67">
      <c r="A28" s="74" t="inlineStr">
        <is>
          <t>CM-13</t>
        </is>
      </c>
      <c r="B28" s="74" t="inlineStr">
        <is>
          <t>Guardians</t>
        </is>
      </c>
      <c r="C28" s="74" t="inlineStr">
        <is>
          <t>The ultimate item's sector holds guard_ships Bastion-class ships that attack on entry.</t>
        </is>
      </c>
      <c r="D28" s="74" t="n"/>
      <c r="E28" s="74" t="n"/>
      <c r="F28" s="74" t="inlineStr">
        <is>
          <t>[endgame] guard_ships = 4</t>
        </is>
      </c>
      <c r="G28" s="74" t="inlineStr">
        <is>
          <t>Q-15</t>
        </is>
      </c>
      <c r="H28" s="74" t="inlineStr">
        <is>
          <t>Ans Q-15</t>
        </is>
      </c>
      <c r="I28" s="74" t="inlineStr">
        <is>
          <t>Agreed</t>
        </is>
      </c>
    </row>
    <row r="29" ht="15" customHeight="1" s="67">
      <c r="A29" s="74" t="n"/>
      <c r="B29" s="74" t="n"/>
      <c r="C29" s="74" t="n"/>
      <c r="D29" s="74" t="n"/>
      <c r="E29" s="74" t="n"/>
      <c r="F29" s="74" t="n"/>
      <c r="G29" s="74" t="n"/>
      <c r="H29" s="74" t="n"/>
      <c r="I29" s="74" t="n"/>
    </row>
    <row r="30" ht="15" customHeight="1" s="67">
      <c r="A30" s="74" t="n"/>
      <c r="B30" s="74" t="n"/>
      <c r="C30" s="74" t="n"/>
      <c r="D30" s="74" t="n"/>
      <c r="E30" s="74" t="n"/>
      <c r="F30" s="74" t="n"/>
      <c r="G30" s="74" t="n"/>
      <c r="H30" s="74" t="n"/>
      <c r="I30" s="74" t="n"/>
    </row>
  </sheetData>
  <autoFilter ref="A6:I11"/>
  <mergeCells count="3">
    <mergeCell ref="A5:I5"/>
    <mergeCell ref="A13:I13"/>
    <mergeCell ref="A14:I14"/>
  </mergeCells>
  <conditionalFormatting sqref="I7:I11">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I16:I30">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dataValidations count="1">
    <dataValidation sqref="I7:I11 I16:I30"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C55A11"/>
    <outlinePr summaryBelow="1" summaryRight="1"/>
    <pageSetUpPr fitToPage="1"/>
  </sheetPr>
  <dimension ref="A1:I40"/>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6" customWidth="1" style="66" min="2" max="2"/>
    <col width="34" customWidth="1" style="66" min="3" max="3"/>
    <col width="14" customWidth="1" style="66" min="4" max="5"/>
    <col width="30" customWidth="1" style="66" min="6" max="6"/>
    <col width="10" customWidth="1" style="66" min="7" max="7"/>
    <col width="14" customWidth="1" style="66" min="8" max="8"/>
    <col width="13" customWidth="1" style="66" min="9" max="9"/>
  </cols>
  <sheetData>
    <row r="1" ht="17.35" customHeight="1" s="67">
      <c r="A1" s="68" t="inlineStr">
        <is>
          <t>14 · Fear &amp; respect</t>
        </is>
      </c>
    </row>
    <row r="2" ht="15" customHeight="1" s="67">
      <c r="A2" s="69" t="inlineStr">
        <is>
          <t>Events, levels, and what the levels change in the world</t>
        </is>
      </c>
    </row>
    <row r="3" ht="15" customHeight="1" s="67">
      <c r="A3" s="70">
        <f>HYPERLINK("#'0 Index'!A1","↩ Index")</f>
        <v/>
      </c>
    </row>
    <row r="5" ht="15" customHeight="1" s="67">
      <c r="A5" s="121" t="inlineStr">
        <is>
          <t>Events</t>
        </is>
      </c>
    </row>
    <row r="6" ht="15" customHeight="1" s="67">
      <c r="A6" s="77" t="inlineStr">
        <is>
          <t>Levels are ints 0–100. Base deltas are config keys, scaled by the strength ratio (LV-03).</t>
        </is>
      </c>
    </row>
    <row r="7" ht="15" customHeight="1" s="67">
      <c r="A7" s="122" t="inlineStr">
        <is>
          <t>ID</t>
        </is>
      </c>
      <c r="B7" s="122" t="inlineStr">
        <is>
          <t>Event</t>
        </is>
      </c>
      <c r="C7" s="122" t="inlineStr">
        <is>
          <t>Condition</t>
        </is>
      </c>
      <c r="D7" s="122" t="inlineStr">
        <is>
          <t>Fear Δ</t>
        </is>
      </c>
      <c r="E7" s="122" t="inlineStr">
        <is>
          <t>Respect Δ</t>
        </is>
      </c>
      <c r="F7" s="122" t="inlineStr">
        <is>
          <t>Config key</t>
        </is>
      </c>
      <c r="G7" s="122" t="inlineStr">
        <is>
          <t>Open Q</t>
        </is>
      </c>
      <c r="H7" s="122" t="inlineStr">
        <is>
          <t>Origin</t>
        </is>
      </c>
      <c r="I7" s="122" t="inlineStr">
        <is>
          <t>Status</t>
        </is>
      </c>
    </row>
    <row r="8" ht="15" customHeight="1" s="67">
      <c r="A8" s="74" t="inlineStr">
        <is>
          <t>FR-01</t>
        </is>
      </c>
      <c r="B8" s="74" t="inlineStr">
        <is>
          <t>Battle won</t>
        </is>
      </c>
      <c r="C8" s="74" t="inlineStr">
        <is>
          <t>Any opponent</t>
        </is>
      </c>
      <c r="D8" s="74" t="inlineStr">
        <is>
          <t>+8</t>
        </is>
      </c>
      <c r="E8" s="74" t="inlineStr">
        <is>
          <t>—</t>
        </is>
      </c>
      <c r="F8" s="74" t="inlineStr">
        <is>
          <t>[fear] battle_won_delta = 8</t>
        </is>
      </c>
      <c r="G8" s="74" t="inlineStr">
        <is>
          <t>Q-35</t>
        </is>
      </c>
      <c r="H8" s="74" t="inlineStr">
        <is>
          <t>BP r94; Claude</t>
        </is>
      </c>
      <c r="I8" s="74" t="inlineStr">
        <is>
          <t>Proposed</t>
        </is>
      </c>
    </row>
    <row r="9" ht="23.85" customHeight="1" s="67">
      <c r="A9" s="74" t="inlineStr">
        <is>
          <t>FR-02</t>
        </is>
      </c>
      <c r="B9" s="74" t="inlineStr">
        <is>
          <t>Battle lost</t>
        </is>
      </c>
      <c r="C9" s="74" t="inlineStr">
        <is>
          <t>AI captains only (a player loss is game over)</t>
        </is>
      </c>
      <c r="D9" s="74" t="inlineStr">
        <is>
          <t>−8</t>
        </is>
      </c>
      <c r="E9" s="74" t="inlineStr">
        <is>
          <t>—</t>
        </is>
      </c>
      <c r="F9" s="74" t="inlineStr">
        <is>
          <t>[fear] battle_lost_delta = 8</t>
        </is>
      </c>
      <c r="G9" s="74" t="inlineStr">
        <is>
          <t>Q-29</t>
        </is>
      </c>
      <c r="H9" s="74" t="inlineStr">
        <is>
          <t>BP r95; Ans Q-29</t>
        </is>
      </c>
      <c r="I9" s="74" t="inlineStr">
        <is>
          <t>Agreed</t>
        </is>
      </c>
    </row>
    <row r="10" ht="23.85" customHeight="1" s="67">
      <c r="A10" s="74" t="inlineStr">
        <is>
          <t>FR-03</t>
        </is>
      </c>
      <c r="B10" s="74" t="inlineStr">
        <is>
          <t>Battle won vs stronger</t>
        </is>
      </c>
      <c r="C10" s="74" t="inlineStr">
        <is>
          <t>strength ratio &lt; 1</t>
        </is>
      </c>
      <c r="D10" s="74" t="inlineStr">
        <is>
          <t>(FR-01)</t>
        </is>
      </c>
      <c r="E10" s="74" t="inlineStr">
        <is>
          <t>+10</t>
        </is>
      </c>
      <c r="F10" s="74" t="inlineStr">
        <is>
          <t>[respect] win_vs_stronger_delta = 10</t>
        </is>
      </c>
      <c r="G10" s="74" t="inlineStr">
        <is>
          <t>Q-22</t>
        </is>
      </c>
      <c r="H10" s="74" t="inlineStr">
        <is>
          <t>BP r98; Claude</t>
        </is>
      </c>
      <c r="I10" s="74" t="inlineStr">
        <is>
          <t>Proposed</t>
        </is>
      </c>
    </row>
    <row r="11" ht="23.85" customHeight="1" s="67">
      <c r="A11" s="74" t="inlineStr">
        <is>
          <t>FR-04</t>
        </is>
      </c>
      <c r="B11" s="74" t="inlineStr">
        <is>
          <t>Battle won vs weaker who offered peace</t>
        </is>
      </c>
      <c r="C11" s="74" t="inlineStr">
        <is>
          <t>ratio &gt; 1 and the loser offered peace</t>
        </is>
      </c>
      <c r="D11" s="74" t="inlineStr">
        <is>
          <t>(FR-01)</t>
        </is>
      </c>
      <c r="E11" s="74" t="inlineStr">
        <is>
          <t>−8</t>
        </is>
      </c>
      <c r="F11" s="74" t="inlineStr">
        <is>
          <t>[respect] win_vs_weaker_peace_delta = 8</t>
        </is>
      </c>
      <c r="G11" s="74" t="inlineStr">
        <is>
          <t>Q-22</t>
        </is>
      </c>
      <c r="H11" s="74" t="inlineStr">
        <is>
          <t>BP r99; Claude</t>
        </is>
      </c>
      <c r="I11" s="74" t="inlineStr">
        <is>
          <t>Proposed</t>
        </is>
      </c>
    </row>
    <row r="12" ht="23.85" customHeight="1" s="67">
      <c r="A12" s="74" t="inlineStr">
        <is>
          <t>FR-05</t>
        </is>
      </c>
      <c r="B12" s="74" t="inlineStr">
        <is>
          <t>Battle won vs weaker, player started it</t>
        </is>
      </c>
      <c r="C12" s="74" t="inlineStr">
        <is>
          <t>ratio &gt; 1 and the player fired first</t>
        </is>
      </c>
      <c r="D12" s="74" t="inlineStr">
        <is>
          <t>(FR-01)</t>
        </is>
      </c>
      <c r="E12" s="74" t="inlineStr">
        <is>
          <t>−8</t>
        </is>
      </c>
      <c r="F12" s="74" t="inlineStr">
        <is>
          <t>[respect] win_vs_weaker_started_delta = 8</t>
        </is>
      </c>
      <c r="G12" s="74" t="inlineStr">
        <is>
          <t>Q-23</t>
        </is>
      </c>
      <c r="H12" s="74" t="inlineStr">
        <is>
          <t>BP r99; Claude</t>
        </is>
      </c>
      <c r="I12" s="74" t="inlineStr">
        <is>
          <t>Proposed</t>
        </is>
      </c>
    </row>
    <row r="13" ht="15" customHeight="1" s="67">
      <c r="A13" s="74" t="inlineStr">
        <is>
          <t>FR-06</t>
        </is>
      </c>
      <c r="B13" s="74" t="inlineStr">
        <is>
          <t>Starting a fight</t>
        </is>
      </c>
      <c r="C13" s="74" t="inlineStr">
        <is>
          <t>Player fires first</t>
        </is>
      </c>
      <c r="D13" s="74" t="inlineStr">
        <is>
          <t>—</t>
        </is>
      </c>
      <c r="E13" s="74" t="inlineStr">
        <is>
          <t>−5</t>
        </is>
      </c>
      <c r="F13" s="74" t="inlineStr">
        <is>
          <t>[respect] start_fight_delta = 5</t>
        </is>
      </c>
      <c r="G13" s="74" t="inlineStr">
        <is>
          <t>Q-23</t>
        </is>
      </c>
      <c r="H13" s="74" t="inlineStr">
        <is>
          <t>BP r100; Claude</t>
        </is>
      </c>
      <c r="I13" s="74" t="inlineStr">
        <is>
          <t>Proposed</t>
        </is>
      </c>
    </row>
    <row r="14" ht="15" customHeight="1" s="67">
      <c r="A14" s="74" t="inlineStr">
        <is>
          <t>FR-07</t>
        </is>
      </c>
      <c r="B14" s="74" t="inlineStr">
        <is>
          <t>Trade accepted</t>
        </is>
      </c>
      <c r="C14" s="74" t="inlineStr">
        <is>
          <t>Any accepted trade</t>
        </is>
      </c>
      <c r="D14" s="74" t="inlineStr">
        <is>
          <t>—</t>
        </is>
      </c>
      <c r="E14" s="74" t="inlineStr">
        <is>
          <t>+3</t>
        </is>
      </c>
      <c r="F14" s="74" t="inlineStr">
        <is>
          <t>[respect] trade_accepted_delta = 3</t>
        </is>
      </c>
      <c r="G14" s="74" t="inlineStr">
        <is>
          <t>Q-35</t>
        </is>
      </c>
      <c r="H14" s="74" t="inlineStr">
        <is>
          <t>BP r102; Claude</t>
        </is>
      </c>
      <c r="I14" s="74" t="inlineStr">
        <is>
          <t>Proposed</t>
        </is>
      </c>
    </row>
    <row r="15" ht="15" customHeight="1" s="67">
      <c r="A15" s="74" t="inlineStr">
        <is>
          <t>FR-08</t>
        </is>
      </c>
      <c r="B15" s="74" t="inlineStr">
        <is>
          <t>Special item acquired</t>
        </is>
      </c>
      <c r="C15" s="74" t="inlineStr">
        <is>
          <t>Special category</t>
        </is>
      </c>
      <c r="D15" s="74" t="inlineStr">
        <is>
          <t>—</t>
        </is>
      </c>
      <c r="E15" s="74" t="inlineStr">
        <is>
          <t>+6</t>
        </is>
      </c>
      <c r="F15" s="74" t="inlineStr">
        <is>
          <t>[respect] special_item_delta = 6</t>
        </is>
      </c>
      <c r="G15" s="74" t="inlineStr">
        <is>
          <t>Q-35</t>
        </is>
      </c>
      <c r="H15" s="74" t="inlineStr">
        <is>
          <t>BP r103; Claude</t>
        </is>
      </c>
      <c r="I15" s="74" t="inlineStr">
        <is>
          <t>Proposed</t>
        </is>
      </c>
    </row>
    <row r="16" ht="35.05" customHeight="1" s="67">
      <c r="A16" s="74" t="inlineStr">
        <is>
          <t>FR-09</t>
        </is>
      </c>
      <c r="B16" s="74" t="inlineStr">
        <is>
          <t>Stacking</t>
        </is>
      </c>
      <c r="C16" s="74" t="inlineStr">
        <is>
          <t>FR-05 and FR-06 both apply when the player starts and wins against a weaker opponent.</t>
        </is>
      </c>
      <c r="D16" s="74" t="n"/>
      <c r="E16" s="74" t="n"/>
      <c r="F16" s="74" t="n"/>
      <c r="G16" s="74" t="inlineStr">
        <is>
          <t>Q-23</t>
        </is>
      </c>
      <c r="H16" s="74" t="inlineStr">
        <is>
          <t>Ans Q-23</t>
        </is>
      </c>
      <c r="I16" s="74" t="inlineStr">
        <is>
          <t>Agreed</t>
        </is>
      </c>
    </row>
    <row r="17" ht="23.85" customHeight="1" s="67">
      <c r="A17" s="74" t="inlineStr">
        <is>
          <t>FR-10</t>
        </is>
      </c>
      <c r="B17" s="74" t="inlineStr">
        <is>
          <t>No extra events, no decay</t>
        </is>
      </c>
      <c r="C17" s="74" t="inlineStr">
        <is>
          <t>Losing to a weaker opponent, mercy, escaping: no effect. Levels do not drift.</t>
        </is>
      </c>
      <c r="D17" s="74" t="n"/>
      <c r="E17" s="74" t="n"/>
      <c r="F17" s="74" t="n"/>
      <c r="G17" s="74" t="inlineStr">
        <is>
          <t>Q-36</t>
        </is>
      </c>
      <c r="H17" s="74" t="inlineStr">
        <is>
          <t>Ans Q-36</t>
        </is>
      </c>
      <c r="I17" s="74" t="inlineStr">
        <is>
          <t>Agreed</t>
        </is>
      </c>
    </row>
    <row r="18" ht="15" customHeight="1" s="67">
      <c r="A18" s="74" t="n"/>
      <c r="B18" s="74" t="n"/>
      <c r="C18" s="74" t="n"/>
      <c r="D18" s="74" t="n"/>
      <c r="E18" s="74" t="n"/>
      <c r="F18" s="74" t="n"/>
      <c r="G18" s="74" t="n"/>
      <c r="H18" s="74" t="n"/>
      <c r="I18" s="74" t="n"/>
    </row>
    <row r="19" ht="15" customHeight="1" s="67">
      <c r="A19" s="74" t="n"/>
      <c r="B19" s="74" t="n"/>
      <c r="C19" s="74" t="n"/>
      <c r="D19" s="74" t="n"/>
      <c r="E19" s="74" t="n"/>
      <c r="F19" s="74" t="n"/>
      <c r="G19" s="74" t="n"/>
      <c r="H19" s="74" t="n"/>
      <c r="I19" s="74" t="n"/>
    </row>
    <row r="21" ht="15" customHeight="1" s="67">
      <c r="A21" s="121" t="inlineStr">
        <is>
          <t>Level mechanics</t>
        </is>
      </c>
    </row>
    <row r="22" ht="15" customHeight="1" s="67">
      <c r="A22" s="122" t="inlineStr">
        <is>
          <t>ID</t>
        </is>
      </c>
      <c r="B22" s="122" t="inlineStr">
        <is>
          <t>Aspect</t>
        </is>
      </c>
      <c r="C22" s="122" t="inlineStr">
        <is>
          <t>Current thinking</t>
        </is>
      </c>
      <c r="D22" s="122" t="inlineStr">
        <is>
          <t>Example</t>
        </is>
      </c>
      <c r="E22" s="122" t="inlineStr">
        <is>
          <t>Edge cases</t>
        </is>
      </c>
      <c r="F22" s="122" t="inlineStr">
        <is>
          <t>Config key</t>
        </is>
      </c>
      <c r="G22" s="122" t="inlineStr">
        <is>
          <t>Open Q</t>
        </is>
      </c>
      <c r="H22" s="122" t="inlineStr">
        <is>
          <t>Origin</t>
        </is>
      </c>
      <c r="I22" s="122" t="inlineStr">
        <is>
          <t>Status</t>
        </is>
      </c>
    </row>
    <row r="23" ht="15" customHeight="1" s="67">
      <c r="A23" s="74" t="inlineStr">
        <is>
          <t>LV-01</t>
        </is>
      </c>
      <c r="B23" s="74" t="inlineStr">
        <is>
          <t>Range</t>
        </is>
      </c>
      <c r="C23" s="74" t="inlineStr">
        <is>
          <t>int 0–100 for both.</t>
        </is>
      </c>
      <c r="D23" s="74" t="n"/>
      <c r="E23" s="74" t="n"/>
      <c r="F23" s="74" t="n"/>
      <c r="G23" s="74" t="inlineStr">
        <is>
          <t>Q-15</t>
        </is>
      </c>
      <c r="H23" s="74" t="inlineStr">
        <is>
          <t>Ans Q-15</t>
        </is>
      </c>
      <c r="I23" s="74" t="inlineStr">
        <is>
          <t>Agreed</t>
        </is>
      </c>
    </row>
    <row r="24" ht="15" customHeight="1" s="67">
      <c r="A24" s="74" t="inlineStr">
        <is>
          <t>LV-02</t>
        </is>
      </c>
      <c r="B24" s="74" t="inlineStr">
        <is>
          <t>Starting values</t>
        </is>
      </c>
      <c r="C24" s="74" t="inlineStr">
        <is>
          <t>10 and 10.</t>
        </is>
      </c>
      <c r="D24" s="74" t="n"/>
      <c r="E24" s="74" t="n"/>
      <c r="F24" s="74" t="inlineStr">
        <is>
          <t>[fear] start = 10, [respect] start = 10</t>
        </is>
      </c>
      <c r="G24" s="74" t="inlineStr">
        <is>
          <t>Q-35</t>
        </is>
      </c>
      <c r="H24" s="74" t="inlineStr">
        <is>
          <t>Claude</t>
        </is>
      </c>
      <c r="I24" s="74" t="inlineStr">
        <is>
          <t>Proposed</t>
        </is>
      </c>
    </row>
    <row r="25" ht="35.05" customHeight="1" s="67">
      <c r="A25" s="74" t="inlineStr">
        <is>
          <t>LV-03</t>
        </is>
      </c>
      <c r="B25" s="74" t="inlineStr">
        <is>
          <t>Scaling</t>
        </is>
      </c>
      <c r="C25" s="74" t="inlineStr">
        <is>
          <t>delta × clamp(strength ratio of the opponent vs you, 0.5, 2.0) — beating a much stronger fleet counts double.</t>
        </is>
      </c>
      <c r="D25" s="74" t="n"/>
      <c r="E25" s="74" t="n"/>
      <c r="F25" s="74" t="inlineStr">
        <is>
          <t>[reputation] scale_min = 0.5, scale_max = 2.0</t>
        </is>
      </c>
      <c r="G25" s="74" t="inlineStr">
        <is>
          <t>Q-22</t>
        </is>
      </c>
      <c r="H25" s="74" t="inlineStr">
        <is>
          <t>BP r111; Claude</t>
        </is>
      </c>
      <c r="I25" s="74" t="inlineStr">
        <is>
          <t>Proposed</t>
        </is>
      </c>
    </row>
    <row r="26" ht="23.85" customHeight="1" s="67">
      <c r="A26" s="74" t="inlineStr">
        <is>
          <t>LV-04</t>
        </is>
      </c>
      <c r="B26" s="74" t="inlineStr">
        <is>
          <t>Visibility</t>
        </is>
      </c>
      <c r="C26" s="74" t="inlineStr">
        <is>
          <t>Other captains' levels are visible when in the same sector (via scan).</t>
        </is>
      </c>
      <c r="D26" s="74" t="n"/>
      <c r="E26" s="74" t="n"/>
      <c r="F26" s="74" t="n"/>
      <c r="G26" s="74" t="inlineStr">
        <is>
          <t>Q-36</t>
        </is>
      </c>
      <c r="H26" s="74" t="inlineStr">
        <is>
          <t>Ans Q-36</t>
        </is>
      </c>
      <c r="I26" s="74" t="inlineStr">
        <is>
          <t>Agreed</t>
        </is>
      </c>
    </row>
    <row r="27" ht="35.05" customHeight="1" s="67">
      <c r="A27" s="74" t="inlineStr">
        <is>
          <t>LV-05</t>
        </is>
      </c>
      <c r="B27" s="74" t="inlineStr">
        <is>
          <t>Tuning</t>
        </is>
      </c>
      <c r="C27" s="74" t="inlineStr">
        <is>
          <t>All deltas are placeholders. No target turn count — tune by playtest until the game feels right.</t>
        </is>
      </c>
      <c r="D27" s="74" t="n"/>
      <c r="E27" s="74" t="n"/>
      <c r="F27" s="74" t="n"/>
      <c r="G27" s="74" t="inlineStr">
        <is>
          <t>Q-35</t>
        </is>
      </c>
      <c r="H27" s="74" t="inlineStr">
        <is>
          <t>Chat A15</t>
        </is>
      </c>
      <c r="I27" s="74" t="inlineStr">
        <is>
          <t>Agreed</t>
        </is>
      </c>
    </row>
    <row r="28" ht="15" customHeight="1" s="67">
      <c r="A28" s="74" t="n"/>
      <c r="B28" s="74" t="n"/>
      <c r="C28" s="74" t="n"/>
      <c r="D28" s="74" t="n"/>
      <c r="E28" s="74" t="n"/>
      <c r="F28" s="74" t="n"/>
      <c r="G28" s="74" t="n"/>
      <c r="H28" s="74" t="n"/>
      <c r="I28" s="74" t="n"/>
    </row>
    <row r="30" ht="15" customHeight="1" s="67">
      <c r="A30" s="121" t="inlineStr">
        <is>
          <t>Effects in the world</t>
        </is>
      </c>
    </row>
    <row r="31" ht="15" customHeight="1" s="67">
      <c r="A31" s="77" t="inlineStr">
        <is>
          <t>Split agreed (Chat A13): FEAR acts on ships — AI captains yield. RESPECT acts on planets — they comply. Thresholds are placeholders.</t>
        </is>
      </c>
    </row>
    <row r="32" ht="15" customHeight="1" s="67">
      <c r="A32" s="122" t="inlineStr">
        <is>
          <t>ID</t>
        </is>
      </c>
      <c r="B32" s="122" t="inlineStr">
        <is>
          <t>Who</t>
        </is>
      </c>
      <c r="C32" s="122" t="inlineStr">
        <is>
          <t>Fear effect</t>
        </is>
      </c>
      <c r="D32" s="122" t="inlineStr">
        <is>
          <t>Respect effect</t>
        </is>
      </c>
      <c r="E32" s="122" t="inlineStr">
        <is>
          <t>Notes</t>
        </is>
      </c>
      <c r="F32" s="122" t="inlineStr">
        <is>
          <t>Config key</t>
        </is>
      </c>
      <c r="G32" s="122" t="inlineStr">
        <is>
          <t>Open Q</t>
        </is>
      </c>
      <c r="H32" s="122" t="inlineStr">
        <is>
          <t>Origin</t>
        </is>
      </c>
      <c r="I32" s="122" t="inlineStr">
        <is>
          <t>Status</t>
        </is>
      </c>
    </row>
    <row r="33" ht="23.85" customHeight="1" s="67">
      <c r="A33" s="74" t="inlineStr">
        <is>
          <t>EF-00</t>
        </is>
      </c>
      <c r="B33" s="74" t="inlineStr">
        <is>
          <t>The split</t>
        </is>
      </c>
      <c r="C33" s="74" t="inlineStr">
        <is>
          <t>Fear → ships yield.</t>
        </is>
      </c>
      <c r="D33" s="74" t="inlineStr">
        <is>
          <t>Respect → planets comply.</t>
        </is>
      </c>
      <c r="E33" s="74" t="n"/>
      <c r="F33" s="74" t="n"/>
      <c r="G33" s="74" t="inlineStr">
        <is>
          <t>Q-24</t>
        </is>
      </c>
      <c r="H33" s="74" t="inlineStr">
        <is>
          <t>Chat A13</t>
        </is>
      </c>
      <c r="I33" s="74" t="inlineStr">
        <is>
          <t>Agreed</t>
        </is>
      </c>
    </row>
    <row r="34" ht="35.05" customHeight="1" s="67">
      <c r="A34" s="74" t="inlineStr">
        <is>
          <t>EF-01</t>
        </is>
      </c>
      <c r="B34" s="74" t="inlineStr">
        <is>
          <t>AI captains — attacking</t>
        </is>
      </c>
      <c r="C34" s="74" t="inlineStr">
        <is>
          <t>Attack the player only if the player's fear &lt; attack_fear_max, or they are ≥ attack_ratio_min stronger.</t>
        </is>
      </c>
      <c r="D34" s="74" t="inlineStr">
        <is>
          <t>—</t>
        </is>
      </c>
      <c r="E34" s="74" t="n"/>
      <c r="F34" s="74" t="inlineStr">
        <is>
          <t>[ai] attack_fear_max = 50, attack_ratio_min = 1.3</t>
        </is>
      </c>
      <c r="G34" s="74" t="inlineStr">
        <is>
          <t>Q-24</t>
        </is>
      </c>
      <c r="H34" s="74" t="inlineStr">
        <is>
          <t>Claude</t>
        </is>
      </c>
      <c r="I34" s="74" t="inlineStr">
        <is>
          <t>Proposed</t>
        </is>
      </c>
    </row>
    <row r="35" ht="57.45" customHeight="1" s="67">
      <c r="A35" s="74" t="inlineStr">
        <is>
          <t>EF-02</t>
        </is>
      </c>
      <c r="B35" s="74" t="inlineStr">
        <is>
          <t>AI captains — yielding</t>
        </is>
      </c>
      <c r="C35" s="74" t="inlineStr">
        <is>
          <t>Offer peace earlier as fear rises (shield threshold 30% at fear 0 → 60% at fear 100); at fear ≥ yield_fear_min a weaker captain surrenders the ship outright when its shields drop below 20%.</t>
        </is>
      </c>
      <c r="D35" s="74" t="inlineStr">
        <is>
          <t>Accept the player's peace offers more readily as respect rises.</t>
        </is>
      </c>
      <c r="E35" s="74" t="inlineStr">
        <is>
          <t>Surrender = the player gains the ship (FL-02).</t>
        </is>
      </c>
      <c r="F35" s="74" t="inlineStr">
        <is>
          <t>[ai] yield_fear_min = 80</t>
        </is>
      </c>
      <c r="G35" s="74" t="inlineStr">
        <is>
          <t>Q-24</t>
        </is>
      </c>
      <c r="H35" s="74" t="inlineStr">
        <is>
          <t>Claude</t>
        </is>
      </c>
      <c r="I35" s="74" t="inlineStr">
        <is>
          <t>Proposed</t>
        </is>
      </c>
    </row>
    <row r="36" ht="68.65000000000001" customHeight="1" s="67">
      <c r="A36" s="74" t="inlineStr">
        <is>
          <t>EF-03</t>
        </is>
      </c>
      <c r="B36" s="74" t="inlineStr">
        <is>
          <t>AI captains — trade</t>
        </is>
      </c>
      <c r="C36" s="74" t="inlineStr">
        <is>
          <t>—</t>
        </is>
      </c>
      <c r="D36" s="74" t="inlineStr">
        <is>
          <t>Accept trades at slightly worse terms for themselves as respect rises (±10%).</t>
        </is>
      </c>
      <c r="E36" s="74" t="inlineStr">
        <is>
          <t>Minor; delete if you want respect to be planets-only.</t>
        </is>
      </c>
      <c r="F36" s="74" t="inlineStr">
        <is>
          <t>[economy] respect_price_band = 10</t>
        </is>
      </c>
      <c r="G36" s="74" t="inlineStr">
        <is>
          <t>Q-24</t>
        </is>
      </c>
      <c r="H36" s="74" t="inlineStr">
        <is>
          <t>Claude</t>
        </is>
      </c>
      <c r="I36" s="74" t="inlineStr">
        <is>
          <t>Proposed</t>
        </is>
      </c>
    </row>
    <row r="37" ht="91" customHeight="1" s="67">
      <c r="A37" s="74" t="inlineStr">
        <is>
          <t>EF-04</t>
        </is>
      </c>
      <c r="B37" s="74" t="inlineStr">
        <is>
          <t>Planets — trade</t>
        </is>
      </c>
      <c r="C37" s="74" t="inlineStr">
        <is>
          <t>—</t>
        </is>
      </c>
      <c r="D37" s="74" t="inlineStr">
        <is>
          <t>Refuse trade below planet_refuse_respect; prices improve up to planet_price_band % at respect 100.</t>
        </is>
      </c>
      <c r="E37" s="74" t="n"/>
      <c r="F37" s="74" t="inlineStr">
        <is>
          <t>[economy] planet_refuse_respect = 20, planet_price_band = 20</t>
        </is>
      </c>
      <c r="G37" s="74" t="inlineStr">
        <is>
          <t>Q-24</t>
        </is>
      </c>
      <c r="H37" s="74" t="inlineStr">
        <is>
          <t>Chat A13; Claude</t>
        </is>
      </c>
      <c r="I37" s="74" t="inlineStr">
        <is>
          <t>Proposed</t>
        </is>
      </c>
    </row>
    <row r="38" ht="68.65000000000001" customHeight="1" s="67">
      <c r="A38" s="74" t="inlineStr">
        <is>
          <t>EF-05</t>
        </is>
      </c>
      <c r="B38" s="74" t="inlineStr">
        <is>
          <t>Planets — attacking</t>
        </is>
      </c>
      <c r="C38" s="74" t="inlineStr">
        <is>
          <t>—</t>
        </is>
      </c>
      <c r="D38" s="74" t="inlineStr">
        <is>
          <t>May attack if respect &lt; planet_attack_respect_max and they are stronger.</t>
        </is>
      </c>
      <c r="E38" s="74" t="n"/>
      <c r="F38" s="74" t="inlineStr">
        <is>
          <t>[ai] planet_attack_respect_max = 20</t>
        </is>
      </c>
      <c r="G38" s="74" t="inlineStr">
        <is>
          <t>Q-24</t>
        </is>
      </c>
      <c r="H38" s="74" t="inlineStr">
        <is>
          <t>Claude</t>
        </is>
      </c>
      <c r="I38" s="74" t="inlineStr">
        <is>
          <t>Proposed</t>
        </is>
      </c>
    </row>
    <row r="39" ht="23.85" customHeight="1" s="67">
      <c r="A39" s="74" t="inlineStr">
        <is>
          <t>EF-06</t>
        </is>
      </c>
      <c r="B39" s="74" t="inlineStr">
        <is>
          <t>After mastery</t>
        </is>
      </c>
      <c r="C39" s="74" t="inlineStr">
        <is>
          <t>Both at 100: every ship yields; every planet trades.</t>
        </is>
      </c>
      <c r="D39" s="74" t="n"/>
      <c r="E39" s="74" t="n"/>
      <c r="F39" s="74" t="n"/>
      <c r="G39" s="74" t="inlineStr">
        <is>
          <t>Q-37</t>
        </is>
      </c>
      <c r="H39" s="74" t="inlineStr">
        <is>
          <t>Ans Q-37</t>
        </is>
      </c>
      <c r="I39" s="74" t="inlineStr">
        <is>
          <t>Agreed</t>
        </is>
      </c>
    </row>
    <row r="40" ht="15" customHeight="1" s="67">
      <c r="A40" s="74" t="n"/>
      <c r="B40" s="74" t="n"/>
      <c r="C40" s="74" t="n"/>
      <c r="D40" s="74" t="n"/>
      <c r="E40" s="74" t="n"/>
      <c r="F40" s="74" t="n"/>
      <c r="G40" s="74" t="n"/>
      <c r="H40" s="74" t="n"/>
      <c r="I40" s="74" t="n"/>
    </row>
  </sheetData>
  <autoFilter ref="A7:I19"/>
  <mergeCells count="5">
    <mergeCell ref="A5:I5"/>
    <mergeCell ref="A21:I21"/>
    <mergeCell ref="A31:I31"/>
    <mergeCell ref="A6:I6"/>
    <mergeCell ref="A30:I30"/>
  </mergeCells>
  <conditionalFormatting sqref="I8:I19">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I23:I28">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I33:I40">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dataValidations count="1">
    <dataValidation sqref="I8:I19 I23:I28 I33:I40"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44546A"/>
    <outlinePr summaryBelow="1" summaryRight="1"/>
    <pageSetUpPr fitToPage="1"/>
  </sheetPr>
  <dimension ref="A1:K71"/>
  <sheetViews>
    <sheetView showFormulas="0" showGridLines="0"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13" customWidth="1" style="66" min="2" max="2"/>
    <col width="32" customWidth="1" style="66" min="3" max="3"/>
    <col width="10" customWidth="1" style="66" min="4" max="4"/>
    <col width="14" customWidth="1" style="66" min="5" max="5"/>
    <col width="16" customWidth="1" style="66" min="6" max="6"/>
    <col width="44" customWidth="1" style="66" min="7" max="7"/>
    <col width="16" customWidth="1" style="66" min="8" max="8"/>
    <col width="10" customWidth="1" style="66" min="9" max="9"/>
    <col width="14" customWidth="1" style="66" min="10" max="10"/>
    <col width="13" customWidth="1" style="66" min="11" max="11"/>
  </cols>
  <sheetData>
    <row r="1" ht="17.35" customHeight="1" s="67">
      <c r="A1" s="68" t="inlineStr">
        <is>
          <t>15 · controls_config.ini</t>
        </is>
      </c>
    </row>
    <row r="2" ht="15" customHeight="1" s="67">
      <c r="A2" s="69" t="inlineStr">
        <is>
          <t>Every tunable, one row per key. Proposed defaults are Claude's; the build kit generates the .ini from this tab.</t>
        </is>
      </c>
    </row>
    <row r="3" ht="15" customHeight="1" s="67">
      <c r="A3" s="70">
        <f>HYPERLINK("#'0 Index'!A1","↩ Index")</f>
        <v/>
      </c>
    </row>
    <row r="5" ht="15" customHeight="1" s="67">
      <c r="A5" s="123" t="inlineStr">
        <is>
          <t>Keys</t>
        </is>
      </c>
    </row>
    <row r="6" ht="15" customHeight="1" s="67">
      <c r="A6" s="77" t="inlineStr">
        <is>
          <t>Structure agreed; every numeric value is a placeholder you can change outside the game (Chat A17). [upgrades], [prices] and [elements] are data sections the game reads, never hard-codes.</t>
        </is>
      </c>
    </row>
    <row r="7" ht="15" customHeight="1" s="67">
      <c r="A7" s="124" t="inlineStr">
        <is>
          <t>ID</t>
        </is>
      </c>
      <c r="B7" s="124" t="inlineStr">
        <is>
          <t>Section</t>
        </is>
      </c>
      <c r="C7" s="124" t="inlineStr">
        <is>
          <t>Key</t>
        </is>
      </c>
      <c r="D7" s="124" t="inlineStr">
        <is>
          <t>Type</t>
        </is>
      </c>
      <c r="E7" s="124" t="inlineStr">
        <is>
          <t>Default</t>
        </is>
      </c>
      <c r="F7" s="124" t="inlineStr">
        <is>
          <t>Unit / range</t>
        </is>
      </c>
      <c r="G7" s="124" t="inlineStr">
        <is>
          <t>Meaning</t>
        </is>
      </c>
      <c r="H7" s="124" t="inlineStr">
        <is>
          <t>Used by</t>
        </is>
      </c>
      <c r="I7" s="124" t="inlineStr">
        <is>
          <t>Open Q</t>
        </is>
      </c>
      <c r="J7" s="124" t="inlineStr">
        <is>
          <t>Origin</t>
        </is>
      </c>
      <c r="K7" s="124" t="inlineStr">
        <is>
          <t>Status</t>
        </is>
      </c>
    </row>
    <row r="8" ht="15" customHeight="1" s="67">
      <c r="A8" s="74" t="inlineStr">
        <is>
          <t>CFG-01</t>
        </is>
      </c>
      <c r="B8" s="74" t="inlineStr">
        <is>
          <t>[fear]</t>
        </is>
      </c>
      <c r="C8" s="74" t="inlineStr">
        <is>
          <t>battle_won_delta</t>
        </is>
      </c>
      <c r="D8" s="74" t="inlineStr">
        <is>
          <t>int</t>
        </is>
      </c>
      <c r="E8" s="74" t="n">
        <v>8</v>
      </c>
      <c r="F8" s="74" t="n"/>
      <c r="G8" s="74" t="inlineStr">
        <is>
          <t>Fear gained for a battle won.</t>
        </is>
      </c>
      <c r="H8" s="74" t="inlineStr">
        <is>
          <t>FR-01</t>
        </is>
      </c>
      <c r="I8" s="74" t="inlineStr">
        <is>
          <t>Q-35</t>
        </is>
      </c>
      <c r="J8" s="74" t="inlineStr">
        <is>
          <t>Claude</t>
        </is>
      </c>
      <c r="K8" s="74" t="inlineStr">
        <is>
          <t>Proposed</t>
        </is>
      </c>
    </row>
    <row r="9" ht="15" customHeight="1" s="67">
      <c r="A9" s="74" t="inlineStr">
        <is>
          <t>CFG-02</t>
        </is>
      </c>
      <c r="B9" s="74" t="inlineStr">
        <is>
          <t>[fear]</t>
        </is>
      </c>
      <c r="C9" s="74" t="inlineStr">
        <is>
          <t>battle_lost_delta</t>
        </is>
      </c>
      <c r="D9" s="74" t="inlineStr">
        <is>
          <t>int</t>
        </is>
      </c>
      <c r="E9" s="74" t="n">
        <v>8</v>
      </c>
      <c r="F9" s="74" t="n"/>
      <c r="G9" s="74" t="inlineStr">
        <is>
          <t>Fear lost for a battle lost (AI only).</t>
        </is>
      </c>
      <c r="H9" s="74" t="inlineStr">
        <is>
          <t>FR-02</t>
        </is>
      </c>
      <c r="I9" s="74" t="inlineStr">
        <is>
          <t>Q-29</t>
        </is>
      </c>
      <c r="J9" s="74" t="inlineStr">
        <is>
          <t>Claude</t>
        </is>
      </c>
      <c r="K9" s="74" t="inlineStr">
        <is>
          <t>Proposed</t>
        </is>
      </c>
    </row>
    <row r="10" ht="15" customHeight="1" s="67">
      <c r="A10" s="74" t="inlineStr">
        <is>
          <t>CFG-03</t>
        </is>
      </c>
      <c r="B10" s="74" t="inlineStr">
        <is>
          <t>[fear]</t>
        </is>
      </c>
      <c r="C10" s="74" t="inlineStr">
        <is>
          <t>start</t>
        </is>
      </c>
      <c r="D10" s="74" t="inlineStr">
        <is>
          <t>int</t>
        </is>
      </c>
      <c r="E10" s="74" t="n">
        <v>10</v>
      </c>
      <c r="F10" s="74" t="inlineStr">
        <is>
          <t>0–100</t>
        </is>
      </c>
      <c r="G10" s="74" t="inlineStr">
        <is>
          <t>Starting fear.</t>
        </is>
      </c>
      <c r="H10" s="74" t="inlineStr">
        <is>
          <t>LV-02</t>
        </is>
      </c>
      <c r="I10" s="74" t="inlineStr">
        <is>
          <t>Q-35</t>
        </is>
      </c>
      <c r="J10" s="74" t="inlineStr">
        <is>
          <t>Claude</t>
        </is>
      </c>
      <c r="K10" s="74" t="inlineStr">
        <is>
          <t>Proposed</t>
        </is>
      </c>
    </row>
    <row r="11" ht="15" customHeight="1" s="67">
      <c r="A11" s="74" t="inlineStr">
        <is>
          <t>CFG-04</t>
        </is>
      </c>
      <c r="B11" s="74" t="inlineStr">
        <is>
          <t>[respect]</t>
        </is>
      </c>
      <c r="C11" s="74" t="inlineStr">
        <is>
          <t>win_vs_stronger_delta</t>
        </is>
      </c>
      <c r="D11" s="74" t="inlineStr">
        <is>
          <t>int</t>
        </is>
      </c>
      <c r="E11" s="74" t="n">
        <v>10</v>
      </c>
      <c r="F11" s="74" t="n"/>
      <c r="G11" s="74" t="inlineStr">
        <is>
          <t>Respect gained for beating a stronger opponent.</t>
        </is>
      </c>
      <c r="H11" s="74" t="inlineStr">
        <is>
          <t>FR-03</t>
        </is>
      </c>
      <c r="I11" s="74" t="inlineStr">
        <is>
          <t>Q-22</t>
        </is>
      </c>
      <c r="J11" s="74" t="inlineStr">
        <is>
          <t>Claude</t>
        </is>
      </c>
      <c r="K11" s="74" t="inlineStr">
        <is>
          <t>Proposed</t>
        </is>
      </c>
    </row>
    <row r="12" ht="23.85" customHeight="1" s="67">
      <c r="A12" s="74" t="inlineStr">
        <is>
          <t>CFG-05</t>
        </is>
      </c>
      <c r="B12" s="74" t="inlineStr">
        <is>
          <t>[respect]</t>
        </is>
      </c>
      <c r="C12" s="74" t="inlineStr">
        <is>
          <t>win_vs_weaker_peace_delta</t>
        </is>
      </c>
      <c r="D12" s="74" t="inlineStr">
        <is>
          <t>int</t>
        </is>
      </c>
      <c r="E12" s="74" t="n">
        <v>8</v>
      </c>
      <c r="F12" s="74" t="n"/>
      <c r="G12" s="74" t="inlineStr">
        <is>
          <t>Respect lost for beating a weaker opponent who offered peace.</t>
        </is>
      </c>
      <c r="H12" s="74" t="inlineStr">
        <is>
          <t>FR-04</t>
        </is>
      </c>
      <c r="I12" s="74" t="inlineStr">
        <is>
          <t>Q-22</t>
        </is>
      </c>
      <c r="J12" s="74" t="inlineStr">
        <is>
          <t>Claude</t>
        </is>
      </c>
      <c r="K12" s="74" t="inlineStr">
        <is>
          <t>Proposed</t>
        </is>
      </c>
    </row>
    <row r="13" ht="23.85" customHeight="1" s="67">
      <c r="A13" s="74" t="inlineStr">
        <is>
          <t>CFG-06</t>
        </is>
      </c>
      <c r="B13" s="74" t="inlineStr">
        <is>
          <t>[respect]</t>
        </is>
      </c>
      <c r="C13" s="74" t="inlineStr">
        <is>
          <t>win_vs_weaker_started_delta</t>
        </is>
      </c>
      <c r="D13" s="74" t="inlineStr">
        <is>
          <t>int</t>
        </is>
      </c>
      <c r="E13" s="74" t="n">
        <v>8</v>
      </c>
      <c r="F13" s="74" t="n"/>
      <c r="G13" s="74" t="inlineStr">
        <is>
          <t>Respect lost for beating a weaker opponent in a fight you started.</t>
        </is>
      </c>
      <c r="H13" s="74" t="inlineStr">
        <is>
          <t>FR-05</t>
        </is>
      </c>
      <c r="I13" s="74" t="inlineStr">
        <is>
          <t>Q-23</t>
        </is>
      </c>
      <c r="J13" s="74" t="inlineStr">
        <is>
          <t>Claude</t>
        </is>
      </c>
      <c r="K13" s="74" t="inlineStr">
        <is>
          <t>Proposed</t>
        </is>
      </c>
    </row>
    <row r="14" ht="15" customHeight="1" s="67">
      <c r="A14" s="74" t="inlineStr">
        <is>
          <t>CFG-07</t>
        </is>
      </c>
      <c r="B14" s="74" t="inlineStr">
        <is>
          <t>[respect]</t>
        </is>
      </c>
      <c r="C14" s="74" t="inlineStr">
        <is>
          <t>start_fight_delta</t>
        </is>
      </c>
      <c r="D14" s="74" t="inlineStr">
        <is>
          <t>int</t>
        </is>
      </c>
      <c r="E14" s="74" t="n">
        <v>5</v>
      </c>
      <c r="F14" s="74" t="n"/>
      <c r="G14" s="74" t="inlineStr">
        <is>
          <t>Respect lost for starting any fight.</t>
        </is>
      </c>
      <c r="H14" s="74" t="inlineStr">
        <is>
          <t>FR-06</t>
        </is>
      </c>
      <c r="I14" s="74" t="inlineStr">
        <is>
          <t>Q-23</t>
        </is>
      </c>
      <c r="J14" s="74" t="inlineStr">
        <is>
          <t>Claude</t>
        </is>
      </c>
      <c r="K14" s="74" t="inlineStr">
        <is>
          <t>Proposed</t>
        </is>
      </c>
    </row>
    <row r="15" ht="15" customHeight="1" s="67">
      <c r="A15" s="74" t="inlineStr">
        <is>
          <t>CFG-08</t>
        </is>
      </c>
      <c r="B15" s="74" t="inlineStr">
        <is>
          <t>[respect]</t>
        </is>
      </c>
      <c r="C15" s="74" t="inlineStr">
        <is>
          <t>trade_accepted_delta</t>
        </is>
      </c>
      <c r="D15" s="74" t="inlineStr">
        <is>
          <t>int</t>
        </is>
      </c>
      <c r="E15" s="74" t="n">
        <v>3</v>
      </c>
      <c r="F15" s="74" t="n"/>
      <c r="G15" s="74" t="inlineStr">
        <is>
          <t>Respect gained per accepted trade.</t>
        </is>
      </c>
      <c r="H15" s="74" t="inlineStr">
        <is>
          <t>FR-07</t>
        </is>
      </c>
      <c r="I15" s="74" t="inlineStr">
        <is>
          <t>Q-35</t>
        </is>
      </c>
      <c r="J15" s="74" t="inlineStr">
        <is>
          <t>Claude</t>
        </is>
      </c>
      <c r="K15" s="74" t="inlineStr">
        <is>
          <t>Proposed</t>
        </is>
      </c>
    </row>
    <row r="16" ht="15" customHeight="1" s="67">
      <c r="A16" s="74" t="inlineStr">
        <is>
          <t>CFG-09</t>
        </is>
      </c>
      <c r="B16" s="74" t="inlineStr">
        <is>
          <t>[respect]</t>
        </is>
      </c>
      <c r="C16" s="74" t="inlineStr">
        <is>
          <t>special_item_delta</t>
        </is>
      </c>
      <c r="D16" s="74" t="inlineStr">
        <is>
          <t>int</t>
        </is>
      </c>
      <c r="E16" s="74" t="n">
        <v>6</v>
      </c>
      <c r="F16" s="74" t="n"/>
      <c r="G16" s="74" t="inlineStr">
        <is>
          <t>Respect gained per special item.</t>
        </is>
      </c>
      <c r="H16" s="74" t="inlineStr">
        <is>
          <t>FR-08</t>
        </is>
      </c>
      <c r="I16" s="74" t="inlineStr">
        <is>
          <t>Q-35</t>
        </is>
      </c>
      <c r="J16" s="74" t="inlineStr">
        <is>
          <t>Claude</t>
        </is>
      </c>
      <c r="K16" s="74" t="inlineStr">
        <is>
          <t>Proposed</t>
        </is>
      </c>
    </row>
    <row r="17" ht="15" customHeight="1" s="67">
      <c r="A17" s="74" t="inlineStr">
        <is>
          <t>CFG-10</t>
        </is>
      </c>
      <c r="B17" s="74" t="inlineStr">
        <is>
          <t>[respect]</t>
        </is>
      </c>
      <c r="C17" s="74" t="inlineStr">
        <is>
          <t>start</t>
        </is>
      </c>
      <c r="D17" s="74" t="inlineStr">
        <is>
          <t>int</t>
        </is>
      </c>
      <c r="E17" s="74" t="n">
        <v>10</v>
      </c>
      <c r="F17" s="74" t="inlineStr">
        <is>
          <t>0–100</t>
        </is>
      </c>
      <c r="G17" s="74" t="inlineStr">
        <is>
          <t>Starting respect.</t>
        </is>
      </c>
      <c r="H17" s="74" t="inlineStr">
        <is>
          <t>LV-02</t>
        </is>
      </c>
      <c r="I17" s="74" t="inlineStr">
        <is>
          <t>Q-35</t>
        </is>
      </c>
      <c r="J17" s="74" t="inlineStr">
        <is>
          <t>Claude</t>
        </is>
      </c>
      <c r="K17" s="74" t="inlineStr">
        <is>
          <t>Proposed</t>
        </is>
      </c>
    </row>
    <row r="18" ht="15" customHeight="1" s="67">
      <c r="A18" s="74" t="inlineStr">
        <is>
          <t>CFG-11</t>
        </is>
      </c>
      <c r="B18" s="74" t="inlineStr">
        <is>
          <t>[reputation]</t>
        </is>
      </c>
      <c r="C18" s="74" t="inlineStr">
        <is>
          <t>scale_min, scale_max</t>
        </is>
      </c>
      <c r="D18" s="74" t="inlineStr">
        <is>
          <t>float</t>
        </is>
      </c>
      <c r="E18" s="74" t="inlineStr">
        <is>
          <t>0.5, 2.0</t>
        </is>
      </c>
      <c r="F18" s="74" t="n"/>
      <c r="G18" s="74" t="inlineStr">
        <is>
          <t>Clamp on the strength-ratio multiplier.</t>
        </is>
      </c>
      <c r="H18" s="74" t="inlineStr">
        <is>
          <t>LV-03</t>
        </is>
      </c>
      <c r="I18" s="74" t="inlineStr">
        <is>
          <t>Q-22</t>
        </is>
      </c>
      <c r="J18" s="74" t="inlineStr">
        <is>
          <t>Claude</t>
        </is>
      </c>
      <c r="K18" s="74" t="inlineStr">
        <is>
          <t>Proposed</t>
        </is>
      </c>
    </row>
    <row r="19" ht="15" customHeight="1" s="67">
      <c r="A19" s="74" t="inlineStr">
        <is>
          <t>CFG-12</t>
        </is>
      </c>
      <c r="B19" s="74" t="inlineStr">
        <is>
          <t>[stellar]</t>
        </is>
      </c>
      <c r="C19" s="74" t="inlineStr">
        <is>
          <t>temp_scale</t>
        </is>
      </c>
      <c r="D19" s="74" t="inlineStr">
        <is>
          <t>float</t>
        </is>
      </c>
      <c r="E19" s="74" t="n">
        <v>2700</v>
      </c>
      <c r="F19" s="74" t="inlineStr">
        <is>
          <t>K</t>
        </is>
      </c>
      <c r="G19" s="74" t="inlineStr">
        <is>
          <t>temperature = temp_scale × energy^0.25.</t>
        </is>
      </c>
      <c r="H19" s="74" t="inlineStr">
        <is>
          <t>DQ-03</t>
        </is>
      </c>
      <c r="I19" s="74" t="inlineStr">
        <is>
          <t>Q-10</t>
        </is>
      </c>
      <c r="J19" s="74" t="inlineStr">
        <is>
          <t>Claude</t>
        </is>
      </c>
      <c r="K19" s="74" t="inlineStr">
        <is>
          <t>Proposed</t>
        </is>
      </c>
    </row>
    <row r="20" ht="15" customHeight="1" s="67">
      <c r="A20" s="74" t="inlineStr">
        <is>
          <t>CFG-13</t>
        </is>
      </c>
      <c r="B20" s="74" t="inlineStr">
        <is>
          <t>[stellar]</t>
        </is>
      </c>
      <c r="C20" s="74" t="inlineStr">
        <is>
          <t>energy_low_max</t>
        </is>
      </c>
      <c r="D20" s="74" t="inlineStr">
        <is>
          <t>float</t>
        </is>
      </c>
      <c r="E20" s="74" t="n">
        <v>5</v>
      </c>
      <c r="F20" s="74" t="n"/>
      <c r="G20" s="74" t="inlineStr">
        <is>
          <t>Energy below this = low bucket.</t>
        </is>
      </c>
      <c r="H20" s="74" t="inlineStr">
        <is>
          <t>EB-01</t>
        </is>
      </c>
      <c r="I20" s="74" t="inlineStr">
        <is>
          <t>Q-10</t>
        </is>
      </c>
      <c r="J20" s="74" t="inlineStr">
        <is>
          <t>Claude</t>
        </is>
      </c>
      <c r="K20" s="74" t="inlineStr">
        <is>
          <t>Proposed</t>
        </is>
      </c>
    </row>
    <row r="21" ht="15" customHeight="1" s="67">
      <c r="A21" s="74" t="inlineStr">
        <is>
          <t>CFG-14</t>
        </is>
      </c>
      <c r="B21" s="74" t="inlineStr">
        <is>
          <t>[stellar]</t>
        </is>
      </c>
      <c r="C21" s="74" t="inlineStr">
        <is>
          <t>energy_medium_max</t>
        </is>
      </c>
      <c r="D21" s="74" t="inlineStr">
        <is>
          <t>float</t>
        </is>
      </c>
      <c r="E21" s="74" t="n">
        <v>100</v>
      </c>
      <c r="F21" s="74" t="n"/>
      <c r="G21" s="74" t="inlineStr">
        <is>
          <t>Energy below this = medium; above = high.</t>
        </is>
      </c>
      <c r="H21" s="74" t="inlineStr">
        <is>
          <t>EB-02</t>
        </is>
      </c>
      <c r="I21" s="74" t="inlineStr">
        <is>
          <t>Q-10</t>
        </is>
      </c>
      <c r="J21" s="74" t="inlineStr">
        <is>
          <t>Claude</t>
        </is>
      </c>
      <c r="K21" s="74" t="inlineStr">
        <is>
          <t>Proposed</t>
        </is>
      </c>
    </row>
    <row r="22" ht="35.05" customHeight="1" s="67">
      <c r="A22" s="74" t="inlineStr">
        <is>
          <t>CFG-15</t>
        </is>
      </c>
      <c r="B22" s="74" t="inlineStr">
        <is>
          <t>[stellar]</t>
        </is>
      </c>
      <c r="C22" s="74" t="inlineStr">
        <is>
          <t>colour_thresholds</t>
        </is>
      </c>
      <c r="D22" s="74" t="inlineStr">
        <is>
          <t>list</t>
        </is>
      </c>
      <c r="E22" s="74" t="inlineStr">
        <is>
          <t>3700,5200,6000,7500,10000,30000</t>
        </is>
      </c>
      <c r="F22" s="74" t="inlineStr">
        <is>
          <t>K</t>
        </is>
      </c>
      <c r="G22" s="74" t="inlineStr">
        <is>
          <t>red | orange | yellow | yellow-white | white | blue-white | blue.</t>
        </is>
      </c>
      <c r="H22" s="74" t="inlineStr">
        <is>
          <t>DQ-04, SYM-04</t>
        </is>
      </c>
      <c r="I22" s="74" t="inlineStr">
        <is>
          <t>Q-10</t>
        </is>
      </c>
      <c r="J22" s="74" t="inlineStr">
        <is>
          <t>Claude</t>
        </is>
      </c>
      <c r="K22" s="74" t="inlineStr">
        <is>
          <t>Proposed</t>
        </is>
      </c>
    </row>
    <row r="23" ht="15" customHeight="1" s="67">
      <c r="A23" s="74" t="inlineStr">
        <is>
          <t>CFG-16</t>
        </is>
      </c>
      <c r="B23" s="74" t="inlineStr">
        <is>
          <t>[stellar]</t>
        </is>
      </c>
      <c r="C23" s="74" t="inlineStr">
        <is>
          <t>blackhole_mass</t>
        </is>
      </c>
      <c r="D23" s="74" t="inlineStr">
        <is>
          <t>float</t>
        </is>
      </c>
      <c r="E23" s="74" t="n">
        <v>20</v>
      </c>
      <c r="F23" s="74" t="n"/>
      <c r="G23" s="74" t="inlineStr">
        <is>
          <t>Pull at distance d = k_g × mass / (1 + d)^falloff.</t>
        </is>
      </c>
      <c r="H23" s="74" t="inlineStr">
        <is>
          <t>HZ-04</t>
        </is>
      </c>
      <c r="I23" s="74" t="inlineStr">
        <is>
          <t>Q-02</t>
        </is>
      </c>
      <c r="J23" s="74" t="inlineStr">
        <is>
          <t>Claude</t>
        </is>
      </c>
      <c r="K23" s="74" t="inlineStr">
        <is>
          <t>Proposed</t>
        </is>
      </c>
    </row>
    <row r="24" ht="15" customHeight="1" s="67">
      <c r="A24" s="74" t="inlineStr">
        <is>
          <t>CFG-17</t>
        </is>
      </c>
      <c r="B24" s="74" t="inlineStr">
        <is>
          <t>[stellar]</t>
        </is>
      </c>
      <c r="C24" s="74" t="inlineStr">
        <is>
          <t>neutron_mass</t>
        </is>
      </c>
      <c r="D24" s="74" t="inlineStr">
        <is>
          <t>float</t>
        </is>
      </c>
      <c r="E24" s="74" t="n">
        <v>8</v>
      </c>
      <c r="F24" s="74" t="n"/>
      <c r="G24" s="74" t="inlineStr">
        <is>
          <t>As above, weaker.</t>
        </is>
      </c>
      <c r="H24" s="74" t="inlineStr">
        <is>
          <t>HZ-06</t>
        </is>
      </c>
      <c r="I24" s="74" t="inlineStr">
        <is>
          <t>Q-09</t>
        </is>
      </c>
      <c r="J24" s="74" t="inlineStr">
        <is>
          <t>Claude</t>
        </is>
      </c>
      <c r="K24" s="74" t="inlineStr">
        <is>
          <t>Proposed</t>
        </is>
      </c>
    </row>
    <row r="25" ht="15" customHeight="1" s="67">
      <c r="A25" s="74" t="inlineStr">
        <is>
          <t>CFG-18</t>
        </is>
      </c>
      <c r="B25" s="74" t="inlineStr">
        <is>
          <t>[hazards]</t>
        </is>
      </c>
      <c r="C25" s="74" t="inlineStr">
        <is>
          <t>k_g</t>
        </is>
      </c>
      <c r="D25" s="74" t="inlineStr">
        <is>
          <t>float</t>
        </is>
      </c>
      <c r="E25" s="74" t="n">
        <v>1</v>
      </c>
      <c r="F25" s="74" t="n"/>
      <c r="G25" s="74" t="inlineStr">
        <is>
          <t>Gravity constant.</t>
        </is>
      </c>
      <c r="H25" s="74" t="inlineStr">
        <is>
          <t>DQ-05</t>
        </is>
      </c>
      <c r="I25" s="74" t="inlineStr">
        <is>
          <t>Q-02</t>
        </is>
      </c>
      <c r="J25" s="74" t="inlineStr">
        <is>
          <t>Claude</t>
        </is>
      </c>
      <c r="K25" s="74" t="inlineStr">
        <is>
          <t>Proposed</t>
        </is>
      </c>
    </row>
    <row r="26" ht="15" customHeight="1" s="67">
      <c r="A26" s="74" t="inlineStr">
        <is>
          <t>CFG-19</t>
        </is>
      </c>
      <c r="B26" s="74" t="inlineStr">
        <is>
          <t>[hazards]</t>
        </is>
      </c>
      <c r="C26" s="74" t="inlineStr">
        <is>
          <t>falloff</t>
        </is>
      </c>
      <c r="D26" s="74" t="inlineStr">
        <is>
          <t>float</t>
        </is>
      </c>
      <c r="E26" s="74" t="n">
        <v>1.5</v>
      </c>
      <c r="F26" s="74" t="n"/>
      <c r="G26" s="74" t="inlineStr">
        <is>
          <t>Pull falloff exponent with distance.</t>
        </is>
      </c>
      <c r="H26" s="74" t="inlineStr">
        <is>
          <t>DQ-05</t>
        </is>
      </c>
      <c r="I26" s="74" t="inlineStr">
        <is>
          <t>Q-02</t>
        </is>
      </c>
      <c r="J26" s="74" t="inlineStr">
        <is>
          <t>Claude</t>
        </is>
      </c>
      <c r="K26" s="74" t="inlineStr">
        <is>
          <t>Proposed</t>
        </is>
      </c>
    </row>
    <row r="27" ht="23.85" customHeight="1" s="67">
      <c r="A27" s="74" t="inlineStr">
        <is>
          <t>CFG-20</t>
        </is>
      </c>
      <c r="B27" s="74" t="inlineStr">
        <is>
          <t>[hazards]</t>
        </is>
      </c>
      <c r="C27" s="74" t="inlineStr">
        <is>
          <t>pull_turns_scale</t>
        </is>
      </c>
      <c r="D27" s="74" t="inlineStr">
        <is>
          <t>int</t>
        </is>
      </c>
      <c r="E27" s="74" t="n">
        <v>7</v>
      </c>
      <c r="F27" s="74" t="inlineStr">
        <is>
          <t>turns</t>
        </is>
      </c>
      <c r="G27" s="74" t="inlineStr">
        <is>
          <t>Turns until pulled in = ceil(scale / pull). Sun-like star = 7.</t>
        </is>
      </c>
      <c r="H27" s="74" t="inlineStr">
        <is>
          <t>HZ-02</t>
        </is>
      </c>
      <c r="I27" s="74" t="inlineStr">
        <is>
          <t>Q-02</t>
        </is>
      </c>
      <c r="J27" s="74" t="inlineStr">
        <is>
          <t>Ans Q-02</t>
        </is>
      </c>
      <c r="K27" s="74" t="inlineStr">
        <is>
          <t>Agreed</t>
        </is>
      </c>
    </row>
    <row r="28" ht="15" customHeight="1" s="67">
      <c r="A28" s="74" t="inlineStr">
        <is>
          <t>CFG-21</t>
        </is>
      </c>
      <c r="B28" s="74" t="inlineStr">
        <is>
          <t>[hazards]</t>
        </is>
      </c>
      <c r="C28" s="74" t="inlineStr">
        <is>
          <t>drain_low, drain_medium, drain_high</t>
        </is>
      </c>
      <c r="D28" s="74" t="inlineStr">
        <is>
          <t>int</t>
        </is>
      </c>
      <c r="E28" s="74" t="inlineStr">
        <is>
          <t>5, 10, 20</t>
        </is>
      </c>
      <c r="F28" s="74" t="inlineStr">
        <is>
          <t>shield / turn</t>
        </is>
      </c>
      <c r="G28" s="74" t="inlineStr">
        <is>
          <t>Shield drain in a star's cell by bucket.</t>
        </is>
      </c>
      <c r="H28" s="74" t="inlineStr">
        <is>
          <t>HZ-03</t>
        </is>
      </c>
      <c r="I28" s="74" t="inlineStr">
        <is>
          <t>Q-03</t>
        </is>
      </c>
      <c r="J28" s="74" t="inlineStr">
        <is>
          <t>Claude</t>
        </is>
      </c>
      <c r="K28" s="74" t="inlineStr">
        <is>
          <t>Proposed</t>
        </is>
      </c>
    </row>
    <row r="29" ht="15" customHeight="1" s="67">
      <c r="A29" s="74" t="inlineStr">
        <is>
          <t>CFG-22</t>
        </is>
      </c>
      <c r="B29" s="74" t="inlineStr">
        <is>
          <t>[movement]</t>
        </is>
      </c>
      <c r="C29" s="74" t="inlineStr">
        <is>
          <t>impulse_max, warp_max</t>
        </is>
      </c>
      <c r="D29" s="74" t="inlineStr">
        <is>
          <t>float</t>
        </is>
      </c>
      <c r="E29" s="74" t="n">
        <v>10</v>
      </c>
      <c r="F29" s="74" t="n"/>
      <c r="G29" s="74" t="inlineStr">
        <is>
          <t>Upper bound for engine and warp core.</t>
        </is>
      </c>
      <c r="H29" s="74" t="inlineStr">
        <is>
          <t>SH-04, SH-05</t>
        </is>
      </c>
      <c r="I29" s="74" t="inlineStr">
        <is>
          <t>Q-02</t>
        </is>
      </c>
      <c r="J29" s="74" t="inlineStr">
        <is>
          <t>Ans Q-02</t>
        </is>
      </c>
      <c r="K29" s="74" t="inlineStr">
        <is>
          <t>Agreed</t>
        </is>
      </c>
    </row>
    <row r="30" ht="23.85" customHeight="1" s="67">
      <c r="A30" s="74" t="inlineStr">
        <is>
          <t>CFG-23</t>
        </is>
      </c>
      <c r="B30" s="74" t="inlineStr">
        <is>
          <t>[movement]</t>
        </is>
      </c>
      <c r="C30" s="74" t="inlineStr">
        <is>
          <t>warp_curve_base, warp_curve_exponent</t>
        </is>
      </c>
      <c r="D30" s="74" t="inlineStr">
        <is>
          <t>float</t>
        </is>
      </c>
      <c r="E30" s="74" t="inlineStr">
        <is>
          <t>16, 4</t>
        </is>
      </c>
      <c r="F30" s="74" t="n"/>
      <c r="G30" s="74" t="inlineStr">
        <is>
          <t>reach = w × base^((w/10)^exponent); w = 10 → anywhere.</t>
        </is>
      </c>
      <c r="H30" s="74" t="inlineStr">
        <is>
          <t>MV-02</t>
        </is>
      </c>
      <c r="I30" s="74" t="inlineStr">
        <is>
          <t>Q-02</t>
        </is>
      </c>
      <c r="J30" s="74" t="inlineStr">
        <is>
          <t>Claude</t>
        </is>
      </c>
      <c r="K30" s="74" t="inlineStr">
        <is>
          <t>Proposed</t>
        </is>
      </c>
    </row>
    <row r="31" ht="15" customHeight="1" s="67">
      <c r="A31" s="74" t="inlineStr">
        <is>
          <t>CFG-24</t>
        </is>
      </c>
      <c r="B31" s="74" t="inlineStr">
        <is>
          <t>[battle]</t>
        </is>
      </c>
      <c r="C31" s="74" t="inlineStr">
        <is>
          <t>phaser_range, torpedo_range</t>
        </is>
      </c>
      <c r="D31" s="74" t="inlineStr">
        <is>
          <t>int</t>
        </is>
      </c>
      <c r="E31" s="74" t="inlineStr">
        <is>
          <t>2, 5</t>
        </is>
      </c>
      <c r="F31" s="74" t="inlineStr">
        <is>
          <t>cells</t>
        </is>
      </c>
      <c r="G31" s="74" t="inlineStr">
        <is>
          <t>Weapon ranges.</t>
        </is>
      </c>
      <c r="H31" s="74" t="inlineStr">
        <is>
          <t>CM-02</t>
        </is>
      </c>
      <c r="I31" s="74" t="inlineStr">
        <is>
          <t>Q-12</t>
        </is>
      </c>
      <c r="J31" s="74" t="inlineStr">
        <is>
          <t>Claude</t>
        </is>
      </c>
      <c r="K31" s="74" t="inlineStr">
        <is>
          <t>Proposed</t>
        </is>
      </c>
    </row>
    <row r="32" ht="35.05" customHeight="1" s="67">
      <c r="A32" s="74" t="inlineStr">
        <is>
          <t>CFG-25</t>
        </is>
      </c>
      <c r="B32" s="74" t="inlineStr">
        <is>
          <t>[battle]</t>
        </is>
      </c>
      <c r="C32" s="74" t="inlineStr">
        <is>
          <t>torpedo_hit_base, torpedo_evade_per_engine, torpedo_damage</t>
        </is>
      </c>
      <c r="D32" s="74" t="inlineStr">
        <is>
          <t>float</t>
        </is>
      </c>
      <c r="E32" s="74" t="inlineStr">
        <is>
          <t>0.7, 0.03, 25</t>
        </is>
      </c>
      <c r="F32" s="74" t="n"/>
      <c r="G32" s="74" t="inlineStr">
        <is>
          <t>Torpedo hit chance and damage.</t>
        </is>
      </c>
      <c r="H32" s="74" t="inlineStr">
        <is>
          <t>CM-03</t>
        </is>
      </c>
      <c r="I32" s="74" t="inlineStr">
        <is>
          <t>Q-12</t>
        </is>
      </c>
      <c r="J32" s="74" t="inlineStr">
        <is>
          <t>Claude</t>
        </is>
      </c>
      <c r="K32" s="74" t="inlineStr">
        <is>
          <t>Proposed</t>
        </is>
      </c>
    </row>
    <row r="33" ht="15" customHeight="1" s="67">
      <c r="A33" s="74" t="inlineStr">
        <is>
          <t>CFG-26</t>
        </is>
      </c>
      <c r="B33" s="74" t="inlineStr">
        <is>
          <t>[battle]</t>
        </is>
      </c>
      <c r="C33" s="74" t="inlineStr">
        <is>
          <t>phaser_damage_per_unit</t>
        </is>
      </c>
      <c r="D33" s="74" t="inlineStr">
        <is>
          <t>float</t>
        </is>
      </c>
      <c r="E33" s="74" t="n">
        <v>5</v>
      </c>
      <c r="F33" s="74" t="n"/>
      <c r="G33" s="74" t="inlineStr">
        <is>
          <t>Phaser damage per power unit at distance 0.</t>
        </is>
      </c>
      <c r="H33" s="74" t="inlineStr">
        <is>
          <t>CM-04</t>
        </is>
      </c>
      <c r="I33" s="74" t="inlineStr">
        <is>
          <t>Q-12</t>
        </is>
      </c>
      <c r="J33" s="74" t="inlineStr">
        <is>
          <t>Claude</t>
        </is>
      </c>
      <c r="K33" s="74" t="inlineStr">
        <is>
          <t>Proposed</t>
        </is>
      </c>
    </row>
    <row r="34" ht="15" customHeight="1" s="67">
      <c r="A34" s="74" t="inlineStr">
        <is>
          <t>CFG-27</t>
        </is>
      </c>
      <c r="B34" s="74" t="inlineStr">
        <is>
          <t>[battle]</t>
        </is>
      </c>
      <c r="C34" s="74" t="inlineStr">
        <is>
          <t>shield_recharge</t>
        </is>
      </c>
      <c r="D34" s="74" t="inlineStr">
        <is>
          <t>int</t>
        </is>
      </c>
      <c r="E34" s="74" t="n">
        <v>5</v>
      </c>
      <c r="F34" s="74" t="inlineStr">
        <is>
          <t>/ turn</t>
        </is>
      </c>
      <c r="G34" s="74" t="inlineStr">
        <is>
          <t>Recharge outside battle and hazards.</t>
        </is>
      </c>
      <c r="H34" s="74" t="inlineStr">
        <is>
          <t>CM-05</t>
        </is>
      </c>
      <c r="I34" s="74" t="inlineStr">
        <is>
          <t>Q-03</t>
        </is>
      </c>
      <c r="J34" s="74" t="inlineStr">
        <is>
          <t>Claude</t>
        </is>
      </c>
      <c r="K34" s="74" t="inlineStr">
        <is>
          <t>Proposed</t>
        </is>
      </c>
    </row>
    <row r="35" ht="15" customHeight="1" s="67">
      <c r="A35" s="74" t="inlineStr">
        <is>
          <t>CFG-28</t>
        </is>
      </c>
      <c r="B35" s="74" t="inlineStr">
        <is>
          <t>[battle]</t>
        </is>
      </c>
      <c r="C35" s="74" t="inlineStr">
        <is>
          <t>peace_loot_max</t>
        </is>
      </c>
      <c r="D35" s="74" t="inlineStr">
        <is>
          <t>int</t>
        </is>
      </c>
      <c r="E35" s="74" t="n">
        <v>50</v>
      </c>
      <c r="F35" s="74" t="inlineStr">
        <is>
          <t>%</t>
        </is>
      </c>
      <c r="G35" s="74" t="inlineStr">
        <is>
          <t>Max share transferred on peace.</t>
        </is>
      </c>
      <c r="H35" s="74" t="inlineStr">
        <is>
          <t>CB-03</t>
        </is>
      </c>
      <c r="I35" s="74" t="inlineStr">
        <is>
          <t>Q-12</t>
        </is>
      </c>
      <c r="J35" s="74" t="inlineStr">
        <is>
          <t>Claude</t>
        </is>
      </c>
      <c r="K35" s="74" t="inlineStr">
        <is>
          <t>Proposed</t>
        </is>
      </c>
    </row>
    <row r="36" ht="15" customHeight="1" s="67">
      <c r="A36" s="74" t="inlineStr">
        <is>
          <t>CFG-29</t>
        </is>
      </c>
      <c r="B36" s="74" t="inlineStr">
        <is>
          <t>[ai]</t>
        </is>
      </c>
      <c r="C36" s="74" t="inlineStr">
        <is>
          <t>attack_ratio_min, attack_fear_max</t>
        </is>
      </c>
      <c r="D36" s="74" t="inlineStr">
        <is>
          <t>float</t>
        </is>
      </c>
      <c r="E36" s="74" t="inlineStr">
        <is>
          <t>1.3, 50</t>
        </is>
      </c>
      <c r="F36" s="74" t="n"/>
      <c r="G36" s="74" t="inlineStr">
        <is>
          <t>When AI captains attack.</t>
        </is>
      </c>
      <c r="H36" s="74" t="inlineStr">
        <is>
          <t>CM-10, EF-01</t>
        </is>
      </c>
      <c r="I36" s="74" t="inlineStr">
        <is>
          <t>Q-24</t>
        </is>
      </c>
      <c r="J36" s="74" t="inlineStr">
        <is>
          <t>Claude</t>
        </is>
      </c>
      <c r="K36" s="74" t="inlineStr">
        <is>
          <t>Proposed</t>
        </is>
      </c>
    </row>
    <row r="37" ht="15" customHeight="1" s="67">
      <c r="A37" s="74" t="inlineStr">
        <is>
          <t>CFG-30</t>
        </is>
      </c>
      <c r="B37" s="74" t="inlineStr">
        <is>
          <t>[ai]</t>
        </is>
      </c>
      <c r="C37" s="74" t="inlineStr">
        <is>
          <t>peace_shield_pct, escape_shield_pct</t>
        </is>
      </c>
      <c r="D37" s="74" t="inlineStr">
        <is>
          <t>int</t>
        </is>
      </c>
      <c r="E37" s="74" t="inlineStr">
        <is>
          <t>30, 15</t>
        </is>
      </c>
      <c r="F37" s="74" t="inlineStr">
        <is>
          <t>%</t>
        </is>
      </c>
      <c r="G37" s="74" t="inlineStr">
        <is>
          <t>When AI offers peace / tries to escape.</t>
        </is>
      </c>
      <c r="H37" s="74" t="inlineStr">
        <is>
          <t>CM-10</t>
        </is>
      </c>
      <c r="I37" s="74" t="inlineStr">
        <is>
          <t>Q-24</t>
        </is>
      </c>
      <c r="J37" s="74" t="inlineStr">
        <is>
          <t>Claude</t>
        </is>
      </c>
      <c r="K37" s="74" t="inlineStr">
        <is>
          <t>Proposed</t>
        </is>
      </c>
    </row>
    <row r="38" ht="15" customHeight="1" s="67">
      <c r="A38" s="74" t="inlineStr">
        <is>
          <t>CFG-31</t>
        </is>
      </c>
      <c r="B38" s="74" t="inlineStr">
        <is>
          <t>[ai]</t>
        </is>
      </c>
      <c r="C38" s="74" t="inlineStr">
        <is>
          <t>planet_attack_respect_max</t>
        </is>
      </c>
      <c r="D38" s="74" t="inlineStr">
        <is>
          <t>int</t>
        </is>
      </c>
      <c r="E38" s="74" t="n">
        <v>20</v>
      </c>
      <c r="F38" s="74" t="n"/>
      <c r="G38" s="74" t="inlineStr">
        <is>
          <t>Planets may attack below this respect.</t>
        </is>
      </c>
      <c r="H38" s="74" t="inlineStr">
        <is>
          <t>EF-05</t>
        </is>
      </c>
      <c r="I38" s="74" t="inlineStr">
        <is>
          <t>Q-24</t>
        </is>
      </c>
      <c r="J38" s="74" t="inlineStr">
        <is>
          <t>Claude</t>
        </is>
      </c>
      <c r="K38" s="74" t="inlineStr">
        <is>
          <t>Proposed</t>
        </is>
      </c>
    </row>
    <row r="39" ht="15" customHeight="1" s="67">
      <c r="A39" s="74" t="inlineStr">
        <is>
          <t>CFG-32</t>
        </is>
      </c>
      <c r="B39" s="74" t="inlineStr">
        <is>
          <t>[economy]</t>
        </is>
      </c>
      <c r="C39" s="74" t="inlineStr">
        <is>
          <t>silver_per_gold</t>
        </is>
      </c>
      <c r="D39" s="74" t="inlineStr">
        <is>
          <t>int</t>
        </is>
      </c>
      <c r="E39" s="74" t="n">
        <v>20</v>
      </c>
      <c r="F39" s="74" t="n"/>
      <c r="G39" s="74" t="inlineStr">
        <is>
          <t>1 gold = 20 silver.</t>
        </is>
      </c>
      <c r="H39" s="74" t="inlineStr">
        <is>
          <t>TR-01</t>
        </is>
      </c>
      <c r="I39" s="74" t="inlineStr">
        <is>
          <t>Q-14</t>
        </is>
      </c>
      <c r="J39" s="74" t="inlineStr">
        <is>
          <t>Ans Q-14</t>
        </is>
      </c>
      <c r="K39" s="74" t="inlineStr">
        <is>
          <t>Agreed</t>
        </is>
      </c>
    </row>
    <row r="40" ht="23.85" customHeight="1" s="67">
      <c r="A40" s="74" t="inlineStr">
        <is>
          <t>CFG-33</t>
        </is>
      </c>
      <c r="B40" s="74" t="inlineStr">
        <is>
          <t>[upgrades]</t>
        </is>
      </c>
      <c r="C40" s="74" t="inlineStr">
        <is>
          <t>torpedoes</t>
        </is>
      </c>
      <c r="D40" s="74" t="inlineStr">
        <is>
          <t>list</t>
        </is>
      </c>
      <c r="E40" s="74" t="inlineStr">
        <is>
          <t>iridium:4, positronium:10</t>
        </is>
      </c>
      <c r="F40" s="74" t="inlineStr">
        <is>
          <t>ammo</t>
        </is>
      </c>
      <c r="G40" s="74" t="inlineStr">
        <is>
          <t>Elements that add torpedoes, and how many.</t>
        </is>
      </c>
      <c r="H40" s="74" t="inlineStr">
        <is>
          <t>UP-01</t>
        </is>
      </c>
      <c r="I40" s="74" t="inlineStr">
        <is>
          <t>Q-14</t>
        </is>
      </c>
      <c r="J40" s="74" t="inlineStr">
        <is>
          <t>Chat A17; Claude (values)</t>
        </is>
      </c>
      <c r="K40" s="74" t="inlineStr">
        <is>
          <t>Agreed</t>
        </is>
      </c>
    </row>
    <row r="41" ht="35.05" customHeight="1" s="67">
      <c r="A41" s="74" t="inlineStr">
        <is>
          <t>CFG-34</t>
        </is>
      </c>
      <c r="B41" s="74" t="inlineStr">
        <is>
          <t>[upgrades]</t>
        </is>
      </c>
      <c r="C41" s="74" t="inlineStr">
        <is>
          <t>phasers</t>
        </is>
      </c>
      <c r="D41" s="74" t="inlineStr">
        <is>
          <t>list</t>
        </is>
      </c>
      <c r="E41" s="74" t="inlineStr">
        <is>
          <t>osmium:0.5, sunstone:1, adamantine:2</t>
        </is>
      </c>
      <c r="F41" s="74" t="inlineStr">
        <is>
          <t>power</t>
        </is>
      </c>
      <c r="G41" s="74" t="inlineStr">
        <is>
          <t>Elements that raise phaser power (cap 10).</t>
        </is>
      </c>
      <c r="H41" s="74" t="inlineStr">
        <is>
          <t>UP-02</t>
        </is>
      </c>
      <c r="I41" s="74" t="inlineStr">
        <is>
          <t>Q-14</t>
        </is>
      </c>
      <c r="J41" s="74" t="inlineStr">
        <is>
          <t>Chat A17; Claude (values)</t>
        </is>
      </c>
      <c r="K41" s="74" t="inlineStr">
        <is>
          <t>Agreed</t>
        </is>
      </c>
    </row>
    <row r="42" ht="35.05" customHeight="1" s="67">
      <c r="A42" s="74" t="inlineStr">
        <is>
          <t>CFG-35</t>
        </is>
      </c>
      <c r="B42" s="74" t="inlineStr">
        <is>
          <t>[upgrades]</t>
        </is>
      </c>
      <c r="C42" s="74" t="inlineStr">
        <is>
          <t>shields</t>
        </is>
      </c>
      <c r="D42" s="74" t="inlineStr">
        <is>
          <t>list</t>
        </is>
      </c>
      <c r="E42" s="74" t="inlineStr">
        <is>
          <t>rhodium:5, sapphire:10, orichalcum:25</t>
        </is>
      </c>
      <c r="F42" s="74" t="inlineStr">
        <is>
          <t>shield_max</t>
        </is>
      </c>
      <c r="G42" s="74" t="inlineStr">
        <is>
          <t>Elements that raise max shields (cap 100).</t>
        </is>
      </c>
      <c r="H42" s="74" t="inlineStr">
        <is>
          <t>UP-03</t>
        </is>
      </c>
      <c r="I42" s="74" t="inlineStr">
        <is>
          <t>Q-14</t>
        </is>
      </c>
      <c r="J42" s="74" t="inlineStr">
        <is>
          <t>Chat A17; Claude (values)</t>
        </is>
      </c>
      <c r="K42" s="74" t="inlineStr">
        <is>
          <t>Agreed</t>
        </is>
      </c>
    </row>
    <row r="43" ht="23.85" customHeight="1" s="67">
      <c r="A43" s="74" t="inlineStr">
        <is>
          <t>CFG-36</t>
        </is>
      </c>
      <c r="B43" s="74" t="inlineStr">
        <is>
          <t>[upgrades]</t>
        </is>
      </c>
      <c r="C43" s="74" t="inlineStr">
        <is>
          <t>engine</t>
        </is>
      </c>
      <c r="D43" s="74" t="inlineStr">
        <is>
          <t>list</t>
        </is>
      </c>
      <c r="E43" s="74" t="inlineStr">
        <is>
          <t>moonstone:0.5, star_iron:1.5</t>
        </is>
      </c>
      <c r="F43" s="74" t="inlineStr">
        <is>
          <t>power</t>
        </is>
      </c>
      <c r="G43" s="74" t="inlineStr">
        <is>
          <t>Elements that raise engine power (cap 10).</t>
        </is>
      </c>
      <c r="H43" s="74" t="inlineStr">
        <is>
          <t>UP-04</t>
        </is>
      </c>
      <c r="I43" s="74" t="inlineStr">
        <is>
          <t>Q-14</t>
        </is>
      </c>
      <c r="J43" s="74" t="inlineStr">
        <is>
          <t>Chat A17; Claude (values)</t>
        </is>
      </c>
      <c r="K43" s="74" t="inlineStr">
        <is>
          <t>Agreed</t>
        </is>
      </c>
    </row>
    <row r="44" ht="23.85" customHeight="1" s="67">
      <c r="A44" s="74" t="inlineStr">
        <is>
          <t>CFG-37</t>
        </is>
      </c>
      <c r="B44" s="74" t="inlineStr">
        <is>
          <t>[upgrades]</t>
        </is>
      </c>
      <c r="C44" s="74" t="inlineStr">
        <is>
          <t>warp</t>
        </is>
      </c>
      <c r="D44" s="74" t="inlineStr">
        <is>
          <t>list</t>
        </is>
      </c>
      <c r="E44" s="74" t="inlineStr">
        <is>
          <t>antihydrogen:0.5, aetherite:1.5</t>
        </is>
      </c>
      <c r="F44" s="74" t="inlineStr">
        <is>
          <t>power</t>
        </is>
      </c>
      <c r="G44" s="74" t="inlineStr">
        <is>
          <t>Elements that raise warp core power (cap 10).</t>
        </is>
      </c>
      <c r="H44" s="74" t="inlineStr">
        <is>
          <t>UP-05</t>
        </is>
      </c>
      <c r="I44" s="74" t="inlineStr">
        <is>
          <t>Q-14</t>
        </is>
      </c>
      <c r="J44" s="74" t="inlineStr">
        <is>
          <t>Chat A17; Claude (values)</t>
        </is>
      </c>
      <c r="K44" s="74" t="inlineStr">
        <is>
          <t>Agreed</t>
        </is>
      </c>
    </row>
    <row r="45" ht="23.85" customHeight="1" s="67">
      <c r="A45" s="74" t="inlineStr">
        <is>
          <t>CFG-38</t>
        </is>
      </c>
      <c r="B45" s="74" t="inlineStr">
        <is>
          <t>[prices]</t>
        </is>
      </c>
      <c r="C45" s="74" t="inlineStr">
        <is>
          <t>food_buy, food_sell, water_buy, water_sell</t>
        </is>
      </c>
      <c r="D45" s="74" t="inlineStr">
        <is>
          <t>int</t>
        </is>
      </c>
      <c r="E45" s="74" t="inlineStr">
        <is>
          <t>2, 1, 2, 1</t>
        </is>
      </c>
      <c r="F45" s="74" t="inlineStr">
        <is>
          <t>silver</t>
        </is>
      </c>
      <c r="G45" s="74" t="inlineStr">
        <is>
          <t>Planet prices for supplies.</t>
        </is>
      </c>
      <c r="H45" s="74" t="inlineStr">
        <is>
          <t>PRC-01, PRC-02</t>
        </is>
      </c>
      <c r="I45" s="74" t="inlineStr">
        <is>
          <t>Q-14</t>
        </is>
      </c>
      <c r="J45" s="74" t="inlineStr">
        <is>
          <t>Chat A17; Claude (values)</t>
        </is>
      </c>
      <c r="K45" s="74" t="inlineStr">
        <is>
          <t>Agreed</t>
        </is>
      </c>
    </row>
    <row r="46" ht="23.85" customHeight="1" s="67">
      <c r="A46" s="74" t="inlineStr">
        <is>
          <t>CFG-39</t>
        </is>
      </c>
      <c r="B46" s="74" t="inlineStr">
        <is>
          <t>[prices]</t>
        </is>
      </c>
      <c r="C46" s="74" t="inlineStr">
        <is>
          <t>torpedo_buy, torpedo_sell</t>
        </is>
      </c>
      <c r="D46" s="74" t="inlineStr">
        <is>
          <t>int</t>
        </is>
      </c>
      <c r="E46" s="74" t="inlineStr">
        <is>
          <t>10, 5</t>
        </is>
      </c>
      <c r="F46" s="74" t="inlineStr">
        <is>
          <t>silver</t>
        </is>
      </c>
      <c r="G46" s="74" t="inlineStr">
        <is>
          <t>Planet prices for torpedoes.</t>
        </is>
      </c>
      <c r="H46" s="74" t="inlineStr">
        <is>
          <t>PRC-03</t>
        </is>
      </c>
      <c r="I46" s="74" t="inlineStr">
        <is>
          <t>Q-14</t>
        </is>
      </c>
      <c r="J46" s="74" t="inlineStr">
        <is>
          <t>Chat A17; Claude (values)</t>
        </is>
      </c>
      <c r="K46" s="74" t="inlineStr">
        <is>
          <t>Agreed</t>
        </is>
      </c>
    </row>
    <row r="47" ht="23.85" customHeight="1" s="67">
      <c r="A47" s="74" t="inlineStr">
        <is>
          <t>CFG-40</t>
        </is>
      </c>
      <c r="B47" s="74" t="inlineStr">
        <is>
          <t>[prices]</t>
        </is>
      </c>
      <c r="C47" s="74" t="inlineStr">
        <is>
          <t>element_sell_pct</t>
        </is>
      </c>
      <c r="D47" s="74" t="inlineStr">
        <is>
          <t>int</t>
        </is>
      </c>
      <c r="E47" s="74" t="n">
        <v>60</v>
      </c>
      <c r="F47" s="74" t="inlineStr">
        <is>
          <t>%</t>
        </is>
      </c>
      <c r="G47" s="74" t="inlineStr">
        <is>
          <t>What a planet pays for an element, as % of its value.</t>
        </is>
      </c>
      <c r="H47" s="74" t="inlineStr">
        <is>
          <t>PRC-04</t>
        </is>
      </c>
      <c r="I47" s="74" t="inlineStr">
        <is>
          <t>Q-14</t>
        </is>
      </c>
      <c r="J47" s="74" t="inlineStr">
        <is>
          <t>Chat A17; Claude (values)</t>
        </is>
      </c>
      <c r="K47" s="74" t="inlineStr">
        <is>
          <t>Agreed</t>
        </is>
      </c>
    </row>
    <row r="48" ht="23.85" customHeight="1" s="67">
      <c r="A48" s="74" t="inlineStr">
        <is>
          <t>CFG-41</t>
        </is>
      </c>
      <c r="B48" s="74" t="inlineStr">
        <is>
          <t>[prices]</t>
        </is>
      </c>
      <c r="C48" s="74" t="inlineStr">
        <is>
          <t>ship_kestrel, ship_corsair</t>
        </is>
      </c>
      <c r="D48" s="74" t="inlineStr">
        <is>
          <t>int</t>
        </is>
      </c>
      <c r="E48" s="74" t="inlineStr">
        <is>
          <t>40, 120</t>
        </is>
      </c>
      <c r="F48" s="74" t="inlineStr">
        <is>
          <t>gold</t>
        </is>
      </c>
      <c r="G48" s="74" t="inlineStr">
        <is>
          <t>Ship purchase prices.</t>
        </is>
      </c>
      <c r="H48" s="74" t="inlineStr">
        <is>
          <t>PRC-05</t>
        </is>
      </c>
      <c r="I48" s="74" t="inlineStr">
        <is>
          <t>Q-13</t>
        </is>
      </c>
      <c r="J48" s="74" t="inlineStr">
        <is>
          <t>Chat A17; Claude (values)</t>
        </is>
      </c>
      <c r="K48" s="74" t="inlineStr">
        <is>
          <t>Agreed</t>
        </is>
      </c>
    </row>
    <row r="49" ht="23.85" customHeight="1" s="67">
      <c r="A49" s="74" t="inlineStr">
        <is>
          <t>CFG-42</t>
        </is>
      </c>
      <c r="B49" s="74" t="inlineStr">
        <is>
          <t>[elements]</t>
        </is>
      </c>
      <c r="C49" s="74" t="inlineStr">
        <is>
          <t>&lt;name&gt; = category, value, rarity</t>
        </is>
      </c>
      <c r="D49" s="74" t="inlineStr">
        <is>
          <t>list</t>
        </is>
      </c>
      <c r="E49" s="74" t="inlineStr">
        <is>
          <t>see tab 11</t>
        </is>
      </c>
      <c r="F49" s="74" t="n"/>
      <c r="G49" s="74" t="inlineStr">
        <is>
          <t>One line per element in the catalogue; the game never hard-codes elements.</t>
        </is>
      </c>
      <c r="H49" s="74" t="inlineStr">
        <is>
          <t>EL-01…12</t>
        </is>
      </c>
      <c r="I49" s="74" t="inlineStr">
        <is>
          <t>Q-14, Q-20</t>
        </is>
      </c>
      <c r="J49" s="74" t="inlineStr">
        <is>
          <t>Chat A17; Claude (values)</t>
        </is>
      </c>
      <c r="K49" s="74" t="inlineStr">
        <is>
          <t>Agreed</t>
        </is>
      </c>
    </row>
    <row r="50" ht="35.05" customHeight="1" s="67">
      <c r="A50" s="74" t="inlineStr">
        <is>
          <t>CFG-43</t>
        </is>
      </c>
      <c r="B50" s="74" t="inlineStr">
        <is>
          <t>[economy]</t>
        </is>
      </c>
      <c r="C50" s="74" t="inlineStr">
        <is>
          <t>planet_refuse_respect, planet_price_band, respect_price_band</t>
        </is>
      </c>
      <c r="D50" s="74" t="inlineStr">
        <is>
          <t>int</t>
        </is>
      </c>
      <c r="E50" s="74" t="inlineStr">
        <is>
          <t>20, 20, 10</t>
        </is>
      </c>
      <c r="F50" s="74" t="inlineStr">
        <is>
          <t>%</t>
        </is>
      </c>
      <c r="G50" s="74" t="inlineStr">
        <is>
          <t>Trade effects of respect.</t>
        </is>
      </c>
      <c r="H50" s="74" t="inlineStr">
        <is>
          <t>EF-03, EF-04</t>
        </is>
      </c>
      <c r="I50" s="74" t="inlineStr">
        <is>
          <t>Q-24</t>
        </is>
      </c>
      <c r="J50" s="74" t="inlineStr">
        <is>
          <t>Claude</t>
        </is>
      </c>
      <c r="K50" s="74" t="inlineStr">
        <is>
          <t>Proposed</t>
        </is>
      </c>
    </row>
    <row r="51" ht="15" customHeight="1" s="67">
      <c r="A51" s="74" t="inlineStr">
        <is>
          <t>CFG-44</t>
        </is>
      </c>
      <c r="B51" s="74" t="inlineStr">
        <is>
          <t>[ai]</t>
        </is>
      </c>
      <c r="C51" s="74" t="inlineStr">
        <is>
          <t>yield_fear_min</t>
        </is>
      </c>
      <c r="D51" s="74" t="inlineStr">
        <is>
          <t>int</t>
        </is>
      </c>
      <c r="E51" s="74" t="n">
        <v>80</v>
      </c>
      <c r="F51" s="74" t="n"/>
      <c r="G51" s="74" t="inlineStr">
        <is>
          <t>Fear at which weaker AI captains surrender their ship.</t>
        </is>
      </c>
      <c r="H51" s="74" t="inlineStr">
        <is>
          <t>EF-02</t>
        </is>
      </c>
      <c r="I51" s="74" t="inlineStr">
        <is>
          <t>Q-24</t>
        </is>
      </c>
      <c r="J51" s="74" t="inlineStr">
        <is>
          <t>Claude</t>
        </is>
      </c>
      <c r="K51" s="74" t="inlineStr">
        <is>
          <t>Proposed</t>
        </is>
      </c>
    </row>
    <row r="52" ht="15" customHeight="1" s="67">
      <c r="A52" s="74" t="inlineStr">
        <is>
          <t>CFG-45</t>
        </is>
      </c>
      <c r="B52" s="74" t="inlineStr">
        <is>
          <t>[supplies]</t>
        </is>
      </c>
      <c r="C52" s="74" t="inlineStr">
        <is>
          <t>food_start, water_start</t>
        </is>
      </c>
      <c r="D52" s="74" t="inlineStr">
        <is>
          <t>int</t>
        </is>
      </c>
      <c r="E52" s="74" t="inlineStr">
        <is>
          <t>30, 30</t>
        </is>
      </c>
      <c r="F52" s="74" t="n"/>
      <c r="G52" s="74" t="inlineStr">
        <is>
          <t>Starting supplies; −1 each per turn.</t>
        </is>
      </c>
      <c r="H52" s="74" t="inlineStr">
        <is>
          <t>CP-07</t>
        </is>
      </c>
      <c r="I52" s="74" t="inlineStr">
        <is>
          <t>Q-19</t>
        </is>
      </c>
      <c r="J52" s="74" t="inlineStr">
        <is>
          <t>Claude</t>
        </is>
      </c>
      <c r="K52" s="74" t="inlineStr">
        <is>
          <t>Proposed</t>
        </is>
      </c>
    </row>
    <row r="53" ht="15" customHeight="1" s="67">
      <c r="A53" s="74" t="inlineStr">
        <is>
          <t>CFG-46</t>
        </is>
      </c>
      <c r="B53" s="74" t="inlineStr">
        <is>
          <t>[supplies]</t>
        </is>
      </c>
      <c r="C53" s="74" t="inlineStr">
        <is>
          <t>warn_turns</t>
        </is>
      </c>
      <c r="D53" s="74" t="inlineStr">
        <is>
          <t>int</t>
        </is>
      </c>
      <c r="E53" s="74" t="n">
        <v>5</v>
      </c>
      <c r="F53" s="74" t="inlineStr">
        <is>
          <t>turns</t>
        </is>
      </c>
      <c r="G53" s="74" t="inlineStr">
        <is>
          <t>Warn when food or water is at or below this.</t>
        </is>
      </c>
      <c r="H53" s="74" t="inlineStr">
        <is>
          <t>SUP-02</t>
        </is>
      </c>
      <c r="I53" s="74" t="inlineStr">
        <is>
          <t>Q-19</t>
        </is>
      </c>
      <c r="J53" s="74" t="inlineStr">
        <is>
          <t>Claude</t>
        </is>
      </c>
      <c r="K53" s="74" t="inlineStr">
        <is>
          <t>Proposed</t>
        </is>
      </c>
    </row>
    <row r="54" ht="15" customHeight="1" s="67">
      <c r="A54" s="74" t="inlineStr">
        <is>
          <t>CFG-47</t>
        </is>
      </c>
      <c r="B54" s="74" t="inlineStr">
        <is>
          <t>[supplies]</t>
        </is>
      </c>
      <c r="C54" s="74" t="inlineStr">
        <is>
          <t>mutiny_turns_at_zero</t>
        </is>
      </c>
      <c r="D54" s="74" t="inlineStr">
        <is>
          <t>int</t>
        </is>
      </c>
      <c r="E54" s="74" t="n">
        <v>3</v>
      </c>
      <c r="F54" s="74" t="inlineStr">
        <is>
          <t>turns</t>
        </is>
      </c>
      <c r="G54" s="74" t="inlineStr">
        <is>
          <t>Consecutive turns at 0 before the crew mutiny.</t>
        </is>
      </c>
      <c r="H54" s="74" t="inlineStr">
        <is>
          <t>SUP-03</t>
        </is>
      </c>
      <c r="I54" s="74" t="inlineStr">
        <is>
          <t>Q-19</t>
        </is>
      </c>
      <c r="J54" s="74" t="inlineStr">
        <is>
          <t>Claude</t>
        </is>
      </c>
      <c r="K54" s="74" t="inlineStr">
        <is>
          <t>Proposed</t>
        </is>
      </c>
    </row>
    <row r="55" ht="23.85" customHeight="1" s="67">
      <c r="A55" s="74" t="inlineStr">
        <is>
          <t>CFG-48</t>
        </is>
      </c>
      <c r="B55" s="74" t="inlineStr">
        <is>
          <t>[supplies]</t>
        </is>
      </c>
      <c r="C55" s="74" t="inlineStr">
        <is>
          <t>mutiny_ship_class, mutiny_supplies, mutiny_fear_delta</t>
        </is>
      </c>
      <c r="D55" s="74" t="inlineStr">
        <is>
          <t>mixed</t>
        </is>
      </c>
      <c r="E55" s="74" t="inlineStr">
        <is>
          <t>Kestrel, 10, 10</t>
        </is>
      </c>
      <c r="F55" s="74" t="n"/>
      <c r="G55" s="74" t="inlineStr">
        <is>
          <t>What the demoted captain gets, and the fear hit.</t>
        </is>
      </c>
      <c r="H55" s="74" t="inlineStr">
        <is>
          <t>SUP-04</t>
        </is>
      </c>
      <c r="I55" s="74" t="inlineStr">
        <is>
          <t>Q-19</t>
        </is>
      </c>
      <c r="J55" s="74" t="inlineStr">
        <is>
          <t>Claude</t>
        </is>
      </c>
      <c r="K55" s="74" t="inlineStr">
        <is>
          <t>Proposed</t>
        </is>
      </c>
    </row>
    <row r="56" ht="15" customHeight="1" s="67">
      <c r="A56" s="74" t="inlineStr">
        <is>
          <t>CFG-49</t>
        </is>
      </c>
      <c r="B56" s="74" t="inlineStr">
        <is>
          <t>[endgame]</t>
        </is>
      </c>
      <c r="C56" s="74" t="inlineStr">
        <is>
          <t>respect_min, fear_min</t>
        </is>
      </c>
      <c r="D56" s="74" t="inlineStr">
        <is>
          <t>int</t>
        </is>
      </c>
      <c r="E56" s="74" t="inlineStr">
        <is>
          <t>90, 90</t>
        </is>
      </c>
      <c r="F56" s="74" t="n"/>
      <c r="G56" s="74" t="inlineStr">
        <is>
          <t>Eligibility thresholds.</t>
        </is>
      </c>
      <c r="H56" s="74" t="inlineStr">
        <is>
          <t>EG-02, EG-03</t>
        </is>
      </c>
      <c r="I56" s="74" t="inlineStr">
        <is>
          <t>Q-15</t>
        </is>
      </c>
      <c r="J56" s="74" t="inlineStr">
        <is>
          <t>Ans Q-15</t>
        </is>
      </c>
      <c r="K56" s="74" t="inlineStr">
        <is>
          <t>Agreed</t>
        </is>
      </c>
    </row>
    <row r="57" ht="15" customHeight="1" s="67">
      <c r="A57" s="74" t="inlineStr">
        <is>
          <t>CFG-50</t>
        </is>
      </c>
      <c r="B57" s="74" t="inlineStr">
        <is>
          <t>[endgame]</t>
        </is>
      </c>
      <c r="C57" s="74" t="inlineStr">
        <is>
          <t>wealth_min_silver</t>
        </is>
      </c>
      <c r="D57" s="74" t="inlineStr">
        <is>
          <t>int</t>
        </is>
      </c>
      <c r="E57" s="74" t="n">
        <v>2000</v>
      </c>
      <c r="F57" s="74" t="inlineStr">
        <is>
          <t>silver-equiv.</t>
        </is>
      </c>
      <c r="G57" s="74" t="inlineStr">
        <is>
          <t>Eligibility wealth threshold.</t>
        </is>
      </c>
      <c r="H57" s="74" t="inlineStr">
        <is>
          <t>EG-01</t>
        </is>
      </c>
      <c r="I57" s="74" t="inlineStr">
        <is>
          <t>Q-15</t>
        </is>
      </c>
      <c r="J57" s="74" t="inlineStr">
        <is>
          <t>Claude</t>
        </is>
      </c>
      <c r="K57" s="74" t="inlineStr">
        <is>
          <t>Proposed</t>
        </is>
      </c>
    </row>
    <row r="58" ht="15" customHeight="1" s="67">
      <c r="A58" s="74" t="inlineStr">
        <is>
          <t>CFG-51</t>
        </is>
      </c>
      <c r="B58" s="74" t="inlineStr">
        <is>
          <t>[endgame]</t>
        </is>
      </c>
      <c r="C58" s="74" t="inlineStr">
        <is>
          <t>required_special_categories</t>
        </is>
      </c>
      <c r="D58" s="74" t="inlineStr">
        <is>
          <t>int</t>
        </is>
      </c>
      <c r="E58" s="74" t="n">
        <v>3</v>
      </c>
      <c r="F58" s="74" t="n"/>
      <c r="G58" s="74" t="inlineStr">
        <is>
          <t>Special items needed (one per category).</t>
        </is>
      </c>
      <c r="H58" s="74" t="inlineStr">
        <is>
          <t>EG-04</t>
        </is>
      </c>
      <c r="I58" s="74" t="inlineStr">
        <is>
          <t>Q-15</t>
        </is>
      </c>
      <c r="J58" s="74" t="inlineStr">
        <is>
          <t>Claude</t>
        </is>
      </c>
      <c r="K58" s="74" t="inlineStr">
        <is>
          <t>Proposed</t>
        </is>
      </c>
    </row>
    <row r="59" ht="15" customHeight="1" s="67">
      <c r="A59" s="74" t="inlineStr">
        <is>
          <t>CFG-52</t>
        </is>
      </c>
      <c r="B59" s="74" t="inlineStr">
        <is>
          <t>[endgame]</t>
        </is>
      </c>
      <c r="C59" s="74" t="inlineStr">
        <is>
          <t>guard_ships</t>
        </is>
      </c>
      <c r="D59" s="74" t="inlineStr">
        <is>
          <t>int</t>
        </is>
      </c>
      <c r="E59" s="74" t="n">
        <v>4</v>
      </c>
      <c r="F59" s="74" t="n"/>
      <c r="G59" s="74" t="inlineStr">
        <is>
          <t>Guardians at the ultimate item.</t>
        </is>
      </c>
      <c r="H59" s="74" t="inlineStr">
        <is>
          <t>EG-06, CM-13</t>
        </is>
      </c>
      <c r="I59" s="74" t="inlineStr">
        <is>
          <t>Q-15</t>
        </is>
      </c>
      <c r="J59" s="74" t="inlineStr">
        <is>
          <t>Claude</t>
        </is>
      </c>
      <c r="K59" s="74" t="inlineStr">
        <is>
          <t>Proposed</t>
        </is>
      </c>
    </row>
    <row r="60" ht="23.85" customHeight="1" s="67">
      <c r="A60" s="74" t="inlineStr">
        <is>
          <t>CFG-53</t>
        </is>
      </c>
      <c r="B60" s="74" t="inlineStr">
        <is>
          <t>[world]</t>
        </is>
      </c>
      <c r="C60" s="74" t="inlineStr">
        <is>
          <t>seed</t>
        </is>
      </c>
      <c r="D60" s="74" t="inlineStr">
        <is>
          <t>int</t>
        </is>
      </c>
      <c r="E60" s="74" t="inlineStr">
        <is>
          <t>random</t>
        </is>
      </c>
      <c r="F60" s="74" t="n"/>
      <c r="G60" s="74" t="inlineStr">
        <is>
          <t>World-generation seed; shown on T4 so a run can be repeated.</t>
        </is>
      </c>
      <c r="H60" s="74" t="inlineStr">
        <is>
          <t>SP-01</t>
        </is>
      </c>
      <c r="I60" s="74" t="inlineStr">
        <is>
          <t>Q-08</t>
        </is>
      </c>
      <c r="J60" s="74" t="inlineStr">
        <is>
          <t>Claude</t>
        </is>
      </c>
      <c r="K60" s="74" t="inlineStr">
        <is>
          <t>Proposed</t>
        </is>
      </c>
    </row>
    <row r="61" ht="23.85" customHeight="1" s="67">
      <c r="A61" s="74" t="inlineStr">
        <is>
          <t>CFG-54</t>
        </is>
      </c>
      <c r="B61" s="74" t="inlineStr">
        <is>
          <t>[world]</t>
        </is>
      </c>
      <c r="C61" s="74" t="inlineStr">
        <is>
          <t>universe_size, galaxy_size, sector_size</t>
        </is>
      </c>
      <c r="D61" s="74" t="inlineStr">
        <is>
          <t>M×N</t>
        </is>
      </c>
      <c r="E61" s="74" t="inlineStr">
        <is>
          <t>8×8, 16×16, 24×24</t>
        </is>
      </c>
      <c r="F61" s="74" t="inlineStr">
        <is>
          <t>cells</t>
        </is>
      </c>
      <c r="G61" s="74" t="inlineStr">
        <is>
          <t>Grid dimensions.</t>
        </is>
      </c>
      <c r="H61" s="74" t="inlineStr">
        <is>
          <t>VW-01…03</t>
        </is>
      </c>
      <c r="I61" s="74" t="inlineStr">
        <is>
          <t>Q-05</t>
        </is>
      </c>
      <c r="J61" s="74" t="inlineStr">
        <is>
          <t>Claude</t>
        </is>
      </c>
      <c r="K61" s="74" t="inlineStr">
        <is>
          <t>Proposed</t>
        </is>
      </c>
    </row>
    <row r="62" ht="15" customHeight="1" s="67">
      <c r="A62" s="74" t="inlineStr">
        <is>
          <t>CFG-55</t>
        </is>
      </c>
      <c r="B62" s="74" t="inlineStr">
        <is>
          <t>[world]</t>
        </is>
      </c>
      <c r="C62" s="74" t="inlineStr">
        <is>
          <t>fog_of_war</t>
        </is>
      </c>
      <c r="D62" s="74" t="inlineStr">
        <is>
          <t>bool</t>
        </is>
      </c>
      <c r="E62" s="74" t="inlineStr">
        <is>
          <t>on</t>
        </is>
      </c>
      <c r="F62" s="74" t="n"/>
      <c r="G62" s="74" t="inlineStr">
        <is>
          <t>On: sector contents hidden until visited / scanned.</t>
        </is>
      </c>
      <c r="H62" s="74" t="inlineStr">
        <is>
          <t>GRD-04</t>
        </is>
      </c>
      <c r="I62" s="74" t="inlineStr">
        <is>
          <t>Q-30</t>
        </is>
      </c>
      <c r="J62" s="74" t="inlineStr">
        <is>
          <t>Ans Q-30</t>
        </is>
      </c>
      <c r="K62" s="74" t="inlineStr">
        <is>
          <t>Agreed</t>
        </is>
      </c>
    </row>
    <row r="63" ht="23.85" customHeight="1" s="67">
      <c r="A63" s="74" t="inlineStr">
        <is>
          <t>CFG-56</t>
        </is>
      </c>
      <c r="B63" s="74" t="inlineStr">
        <is>
          <t>[world]</t>
        </is>
      </c>
      <c r="C63" s="74" t="inlineStr">
        <is>
          <t>special_items_per_galaxy, normal_items_per_galaxy</t>
        </is>
      </c>
      <c r="D63" s="74" t="inlineStr">
        <is>
          <t>int</t>
        </is>
      </c>
      <c r="E63" s="74" t="inlineStr">
        <is>
          <t>10, 100</t>
        </is>
      </c>
      <c r="F63" s="74" t="n"/>
      <c r="G63" s="74" t="inlineStr">
        <is>
          <t>Item density.</t>
        </is>
      </c>
      <c r="H63" s="74" t="inlineStr">
        <is>
          <t>SP-03</t>
        </is>
      </c>
      <c r="I63" s="74" t="inlineStr">
        <is>
          <t>Q-07</t>
        </is>
      </c>
      <c r="J63" s="74" t="inlineStr">
        <is>
          <t>Ans Q-07</t>
        </is>
      </c>
      <c r="K63" s="74" t="inlineStr">
        <is>
          <t>Agreed</t>
        </is>
      </c>
    </row>
    <row r="64" ht="15" customHeight="1" s="67">
      <c r="A64" s="74" t="inlineStr">
        <is>
          <t>CFG-57</t>
        </is>
      </c>
      <c r="B64" s="74" t="inlineStr">
        <is>
          <t>[world]</t>
        </is>
      </c>
      <c r="C64" s="74" t="inlineStr">
        <is>
          <t>ai_captains_per_galaxy</t>
        </is>
      </c>
      <c r="D64" s="74" t="inlineStr">
        <is>
          <t>int</t>
        </is>
      </c>
      <c r="E64" s="74" t="n">
        <v>3</v>
      </c>
      <c r="F64" s="74" t="n"/>
      <c r="G64" s="74" t="inlineStr">
        <is>
          <t>AI captains generated per galaxy.</t>
        </is>
      </c>
      <c r="H64" s="74" t="inlineStr">
        <is>
          <t>SP-06</t>
        </is>
      </c>
      <c r="I64" s="74" t="inlineStr">
        <is>
          <t>Q-13</t>
        </is>
      </c>
      <c r="J64" s="74" t="inlineStr">
        <is>
          <t>Claude</t>
        </is>
      </c>
      <c r="K64" s="74" t="inlineStr">
        <is>
          <t>Proposed</t>
        </is>
      </c>
    </row>
    <row r="65" ht="15" customHeight="1" s="67">
      <c r="A65" s="74" t="inlineStr">
        <is>
          <t>CFG-58</t>
        </is>
      </c>
      <c r="B65" s="74" t="inlineStr">
        <is>
          <t>[world]</t>
        </is>
      </c>
      <c r="C65" s="74" t="inlineStr">
        <is>
          <t>safe_start</t>
        </is>
      </c>
      <c r="D65" s="74" t="inlineStr">
        <is>
          <t>bool</t>
        </is>
      </c>
      <c r="E65" s="74" t="inlineStr">
        <is>
          <t>true</t>
        </is>
      </c>
      <c r="F65" s="74" t="n"/>
      <c r="G65" s="74" t="inlineStr">
        <is>
          <t>Start sector has a planet and no hole.</t>
        </is>
      </c>
      <c r="H65" s="74" t="inlineStr">
        <is>
          <t>SP-05</t>
        </is>
      </c>
      <c r="I65" s="74" t="inlineStr">
        <is>
          <t>Q-08</t>
        </is>
      </c>
      <c r="J65" s="74" t="inlineStr">
        <is>
          <t>Claude</t>
        </is>
      </c>
      <c r="K65" s="74" t="inlineStr">
        <is>
          <t>Proposed</t>
        </is>
      </c>
    </row>
    <row r="66" ht="15" customHeight="1" s="67">
      <c r="A66" s="74" t="inlineStr">
        <is>
          <t>CFG-59</t>
        </is>
      </c>
      <c r="B66" s="74" t="inlineStr">
        <is>
          <t>[bus]</t>
        </is>
      </c>
      <c r="C66" s="74" t="inlineStr">
        <is>
          <t>pub_port, pull_port</t>
        </is>
      </c>
      <c r="D66" s="74" t="inlineStr">
        <is>
          <t>int</t>
        </is>
      </c>
      <c r="E66" s="74" t="inlineStr">
        <is>
          <t>5555, 5556</t>
        </is>
      </c>
      <c r="F66" s="74" t="n"/>
      <c r="G66" s="74" t="inlineStr">
        <is>
          <t>ZeroMQ localhost ports.</t>
        </is>
      </c>
      <c r="H66" s="74" t="inlineStr">
        <is>
          <t>BUS-03</t>
        </is>
      </c>
      <c r="I66" s="74" t="inlineStr">
        <is>
          <t>Q-18</t>
        </is>
      </c>
      <c r="J66" s="74" t="inlineStr">
        <is>
          <t>Ans Q-18</t>
        </is>
      </c>
      <c r="K66" s="74" t="inlineStr">
        <is>
          <t>Agreed</t>
        </is>
      </c>
    </row>
    <row r="67" ht="15" customHeight="1" s="67">
      <c r="A67" s="74" t="inlineStr">
        <is>
          <t>CFG-60</t>
        </is>
      </c>
      <c r="B67" s="74" t="inlineStr">
        <is>
          <t>[ui]</t>
        </is>
      </c>
      <c r="C67" s="74" t="inlineStr">
        <is>
          <t>log_lines</t>
        </is>
      </c>
      <c r="D67" s="74" t="inlineStr">
        <is>
          <t>int</t>
        </is>
      </c>
      <c r="E67" s="74" t="n">
        <v>500</v>
      </c>
      <c r="F67" s="74" t="n"/>
      <c r="G67" s="74" t="inlineStr">
        <is>
          <t>T3 scrollback.</t>
        </is>
      </c>
      <c r="H67" s="74" t="inlineStr">
        <is>
          <t>OB-02</t>
        </is>
      </c>
      <c r="I67" s="74" t="inlineStr">
        <is>
          <t>Q-31</t>
        </is>
      </c>
      <c r="J67" s="74" t="inlineStr">
        <is>
          <t>Claude</t>
        </is>
      </c>
      <c r="K67" s="74" t="inlineStr">
        <is>
          <t>Proposed</t>
        </is>
      </c>
    </row>
    <row r="68" ht="15" customHeight="1" s="67">
      <c r="A68" s="74" t="n"/>
      <c r="B68" s="74" t="n"/>
      <c r="C68" s="74" t="n"/>
      <c r="D68" s="74" t="n"/>
      <c r="E68" s="74" t="n"/>
      <c r="F68" s="74" t="n"/>
      <c r="G68" s="74" t="n"/>
      <c r="H68" s="74" t="n"/>
      <c r="I68" s="74" t="n"/>
      <c r="J68" s="74" t="n"/>
      <c r="K68" s="74" t="n"/>
    </row>
    <row r="69" ht="15" customHeight="1" s="67">
      <c r="A69" s="74" t="n"/>
      <c r="B69" s="74" t="n"/>
      <c r="C69" s="74" t="n"/>
      <c r="D69" s="74" t="n"/>
      <c r="E69" s="74" t="n"/>
      <c r="F69" s="74" t="n"/>
      <c r="G69" s="74" t="n"/>
      <c r="H69" s="74" t="n"/>
      <c r="I69" s="74" t="n"/>
      <c r="J69" s="74" t="n"/>
      <c r="K69" s="74" t="n"/>
    </row>
    <row r="70" ht="15" customHeight="1" s="67">
      <c r="A70" s="74" t="n"/>
      <c r="B70" s="74" t="n"/>
      <c r="C70" s="74" t="n"/>
      <c r="D70" s="74" t="n"/>
      <c r="E70" s="74" t="n"/>
      <c r="F70" s="74" t="n"/>
      <c r="G70" s="74" t="n"/>
      <c r="H70" s="74" t="n"/>
      <c r="I70" s="74" t="n"/>
      <c r="J70" s="74" t="n"/>
      <c r="K70" s="74" t="n"/>
    </row>
    <row r="71" ht="15" customHeight="1" s="67">
      <c r="A71" s="74" t="n"/>
      <c r="B71" s="74" t="n"/>
      <c r="C71" s="74" t="n"/>
      <c r="D71" s="74" t="n"/>
      <c r="E71" s="74" t="n"/>
      <c r="F71" s="74" t="n"/>
      <c r="G71" s="74" t="n"/>
      <c r="H71" s="74" t="n"/>
      <c r="I71" s="74" t="n"/>
      <c r="J71" s="74" t="n"/>
      <c r="K71" s="74" t="n"/>
    </row>
  </sheetData>
  <autoFilter ref="A7:K71"/>
  <mergeCells count="2">
    <mergeCell ref="A6:K6"/>
    <mergeCell ref="A5:K5"/>
  </mergeCells>
  <conditionalFormatting sqref="K8:K71">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dataValidations count="1">
    <dataValidation sqref="K8:K71"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C00000"/>
    <outlinePr summaryBelow="1" summaryRight="1"/>
    <pageSetUpPr fitToPage="1"/>
  </sheetPr>
  <dimension ref="A1:G4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66" min="1" max="1"/>
    <col width="14" customWidth="1" style="66" min="2" max="2"/>
    <col width="40" customWidth="1" style="66" min="3" max="3"/>
    <col width="34" customWidth="1" style="66" min="4" max="4"/>
    <col width="44" customWidth="1" style="66" min="5" max="6"/>
    <col width="13" customWidth="1" style="66" min="7" max="7"/>
  </cols>
  <sheetData>
    <row r="1" ht="17.35" customHeight="1" s="67">
      <c r="A1" s="68" t="inlineStr">
        <is>
          <t>16 · Open questions</t>
        </is>
      </c>
    </row>
    <row r="2" ht="15" customHeight="1" s="67">
      <c r="A2" s="69" t="inlineStr">
        <is>
          <t>Your answers (column F, verbatim) and how each was folded in (column G). Agreed = done; Needs detail = a follow-up question is in chat.</t>
        </is>
      </c>
    </row>
    <row r="3" ht="15" customHeight="1" s="67">
      <c r="A3" s="70">
        <f>HYPERLINK("#'0 Index'!A1","↩ Index")</f>
        <v/>
      </c>
    </row>
    <row r="5" ht="15" customHeight="1" s="67">
      <c r="A5" s="125" t="inlineStr">
        <is>
          <t>ID</t>
        </is>
      </c>
      <c r="B5" s="125" t="inlineStr">
        <is>
          <t>Area</t>
        </is>
      </c>
      <c r="C5" s="125" t="inlineStr">
        <is>
          <t>Question (short)</t>
        </is>
      </c>
      <c r="D5" s="125" t="inlineStr">
        <is>
          <t>Options offered</t>
        </is>
      </c>
      <c r="E5" s="125" t="inlineStr">
        <is>
          <t>Your answer (verbatim)</t>
        </is>
      </c>
      <c r="F5" s="125" t="inlineStr">
        <is>
          <t>Resolution — where it went</t>
        </is>
      </c>
      <c r="G5" s="125" t="inlineStr">
        <is>
          <t>Status</t>
        </is>
      </c>
    </row>
    <row r="6" ht="35.05" customHeight="1" s="67">
      <c r="A6" s="74" t="inlineStr">
        <is>
          <t>Q-01</t>
        </is>
      </c>
      <c r="B6" s="74" t="inlineStr">
        <is>
          <t>Turns</t>
        </is>
      </c>
      <c r="C6" s="74" t="inlineStr">
        <is>
          <t>How do orders resolve; immediate vs queued; conflicting orders?</t>
        </is>
      </c>
      <c r="D6" s="74" t="inlineStr">
        <is>
          <t>A) Simultaneous, fixed phase order [ASSUMED]  B) Sequential</t>
        </is>
      </c>
      <c r="E6" s="74" t="inlineStr">
        <is>
          <t>player just executes a turn. So your option A I think works.</t>
        </is>
      </c>
      <c r="F6" s="74" t="inlineStr">
        <is>
          <t>A agreed → OV-02, TP-01…08. Immediate / queued split and 'same-kind order replaces' are Proposed (OV-02b).</t>
        </is>
      </c>
      <c r="G6" s="74" t="inlineStr">
        <is>
          <t>Agreed</t>
        </is>
      </c>
    </row>
    <row r="7" ht="292.5" customHeight="1" s="67">
      <c r="A7" s="74" t="inlineStr">
        <is>
          <t>Q-02</t>
        </is>
      </c>
      <c r="B7" s="74" t="inlineStr">
        <is>
          <t>Movement &amp; hazards</t>
        </is>
      </c>
      <c r="C7" s="74" t="inlineStr">
        <is>
          <t>Impulse → cells? Warp → reach? Countdown reset? Fatal?</t>
        </is>
      </c>
      <c r="D7" s="74" t="inlineStr">
        <is>
          <t>Countdown: A) resets on leaving [ASSUMED]  B) persists</t>
        </is>
      </c>
      <c r="E7" s="74" t="inlineStr">
        <is>
          <t>lets say impulse of 1 gives 1 sector cell at a time, impulse of 2 gives 2 sector cells at a time. 
With warp 1, one galaxy cell at a time, then 2 at a time for warp 2. 
note: these are float values so we can have e.g. warp 9.2 potentially, so will need to be calculated exponentially as such since warp 10 can be anywhere in the universe in one turn. 9.99999 is very fast and can do many turns at once but no where near warp 10.
the grids will need to be somewhat big i think. 
the gravitational pull factor will net against the speed. 
you will need to come up with calculations to begin with i feel, and maybe put them in this spreadsheet.
Falling into a star is fatal, shields get drained, and if they dont escape and impulse or warp out in time, they will get destroyed. Same with a black hole (but less time to move and need much more engine power, a ship may have not enough power to enter in a black hole sector and escape</t>
        </is>
      </c>
      <c r="F7" s="74" t="inlineStr">
        <is>
          <t>Folded into MV-01…03, HZ-02/04/08/10, DQ-05 + calculators on 8 Hazards and 9 Ships. Fractional impulse = floor (chat A9).</t>
        </is>
      </c>
      <c r="G7" s="74" t="inlineStr">
        <is>
          <t>Agreed</t>
        </is>
      </c>
    </row>
    <row r="8" ht="57.45" customHeight="1" s="67">
      <c r="A8" s="74" t="inlineStr">
        <is>
          <t>Q-03</t>
        </is>
      </c>
      <c r="B8" s="74" t="inlineStr">
        <is>
          <t>Shield drain</t>
        </is>
      </c>
      <c r="C8" s="74" t="inlineStr">
        <is>
          <t>Drain per turn? What at 0 shields?</t>
        </is>
      </c>
      <c r="D8" s="74" t="n"/>
      <c r="E8" s="74" t="inlineStr">
        <is>
          <t>with 0 shields, they get destroyed with one hit I imagine.
Drain per turn, we should come up with a config of numbers that we can set in the config ini</t>
        </is>
      </c>
      <c r="F8" s="74" t="inlineStr">
        <is>
          <t>HZ-09, SH-07, CM-05; drain numbers Proposed in HZ-03 / CFG.</t>
        </is>
      </c>
      <c r="G8" s="74" t="inlineStr">
        <is>
          <t>Agreed</t>
        </is>
      </c>
    </row>
    <row r="9" ht="35.05" customHeight="1" s="67">
      <c r="A9" s="74" t="inlineStr">
        <is>
          <t>Q-04</t>
        </is>
      </c>
      <c r="B9" s="74" t="inlineStr">
        <is>
          <t>Grid storage</t>
        </is>
      </c>
      <c r="C9" s="74" t="inlineStr">
        <is>
          <t>Dense or sparse?</t>
        </is>
      </c>
      <c r="D9" s="74" t="inlineStr">
        <is>
          <t>A) Dense [ASSUMED]  B) Sparse</t>
        </is>
      </c>
      <c r="E9" s="74" t="inlineStr">
        <is>
          <t>I would say sparse. Every sector here and there may have items to acquire by the ship, exotic and special items even rare</t>
        </is>
      </c>
      <c r="F9" s="74" t="inlineStr">
        <is>
          <t>Sparse → WG-00.</t>
        </is>
      </c>
      <c r="G9" s="74" t="inlineStr">
        <is>
          <t>Agreed</t>
        </is>
      </c>
    </row>
    <row r="10" ht="35.05" customHeight="1" s="67">
      <c r="A10" s="74" t="inlineStr">
        <is>
          <t>Q-05</t>
        </is>
      </c>
      <c r="B10" s="74" t="inlineStr">
        <is>
          <t>Grid sizes &amp; coordinates</t>
        </is>
      </c>
      <c r="C10" s="74" t="inlineStr">
        <is>
          <t>M × N per level? Coordinate format?</t>
        </is>
      </c>
      <c r="D10" s="74" t="n"/>
      <c r="E10" s="74" t="inlineStr">
        <is>
          <t>so in the grid terminal we can switch between views: current sector, current galaxy, universe. Ill let you figure out dimensions, but this should be configurable</t>
        </is>
      </c>
      <c r="F10" s="74" t="inlineStr">
        <is>
          <t>Sizes Proposed and configurable (VW-01…03, CFG). Coordinates Proposed (GRD-01).</t>
        </is>
      </c>
      <c r="G10" s="74" t="inlineStr">
        <is>
          <t>Agreed</t>
        </is>
      </c>
    </row>
    <row r="11" ht="46.25" customHeight="1" s="67">
      <c r="A11" s="74" t="inlineStr">
        <is>
          <t>Q-06</t>
        </is>
      </c>
      <c r="B11" s="74" t="inlineStr">
        <is>
          <t>Cell occupancy</t>
        </is>
      </c>
      <c r="C11" s="74" t="inlineStr">
        <is>
          <t>Several things per cell? Binary systems?</t>
        </is>
      </c>
      <c r="D11" s="74" t="inlineStr">
        <is>
          <t>A) One terrain object + ships [ASSUMED]  B) Composite</t>
        </is>
      </c>
      <c r="E11" s="74" t="inlineStr">
        <is>
          <t>one star per cell (not in one cell) they can be close are far apart in the sector. Items can be in the same cell, along with ships. Just the stars need to be in separate cells</t>
        </is>
      </c>
      <c r="F11" s="74" t="inlineStr">
        <is>
          <t>One terrain object per cell; items and ships share → WG-03, SP-02, SYM-13/14.</t>
        </is>
      </c>
      <c r="G11" s="74" t="inlineStr">
        <is>
          <t>Agreed</t>
        </is>
      </c>
    </row>
    <row r="12" ht="91" customHeight="1" s="67">
      <c r="A12" s="74" t="inlineStr">
        <is>
          <t>Q-07</t>
        </is>
      </c>
      <c r="B12" s="74" t="inlineStr">
        <is>
          <t>Special items</t>
        </is>
      </c>
      <c r="C12" s="74" t="inlineStr">
        <is>
          <t>Types? Rarity? Respawn? Pickup?</t>
        </is>
      </c>
      <c r="D12" s="74" t="n"/>
      <c r="E12" s="74" t="inlineStr">
        <is>
          <t>special items have to be picked up by choice i.e. you enter a sector cell with a special item, you use scanners to detect what it is, then a choice to pick it up. Types ill let you come up with by looking at star trek and star wars types of material. Yes special items are rare, id say in the whole galaxy there are probably 10 special items, and in the whole galaxy 100 normal items</t>
        </is>
      </c>
      <c r="F12" s="74" t="inlineStr">
        <is>
          <t>Scan → choose → pickup (CMD-14/15, IT-04); 10 special / 100 normal per galaxy (SP-03); types Proposed (EL-01…12).</t>
        </is>
      </c>
      <c r="G12" s="74" t="inlineStr">
        <is>
          <t>Agreed</t>
        </is>
      </c>
    </row>
    <row r="13" ht="23.85" customHeight="1" s="67">
      <c r="A13" s="74" t="inlineStr">
        <is>
          <t>Q-08</t>
        </is>
      </c>
      <c r="B13" s="74" t="inlineStr">
        <is>
          <t>World generation</t>
        </is>
      </c>
      <c r="C13" s="74" t="inlineStr">
        <is>
          <t>Seeded? Density? Safe start?</t>
        </is>
      </c>
      <c r="D13" s="74" t="inlineStr">
        <is>
          <t>A) Seeded, safe start [ASSUMED]  B) Fixed map</t>
        </is>
      </c>
      <c r="E13" s="74" t="inlineStr">
        <is>
          <t>Seeded</t>
        </is>
      </c>
      <c r="F13" s="74" t="inlineStr">
        <is>
          <t>Seeded → SP-01. Safe start Proposed (SP-05).</t>
        </is>
      </c>
      <c r="G13" s="74" t="inlineStr">
        <is>
          <t>Agreed</t>
        </is>
      </c>
    </row>
    <row r="14" ht="15" customHeight="1" s="67">
      <c r="A14" s="74" t="inlineStr">
        <is>
          <t>Q-09</t>
        </is>
      </c>
      <c r="B14" s="74" t="inlineStr">
        <is>
          <t>Neutron star</t>
        </is>
      </c>
      <c r="C14" s="74" t="inlineStr">
        <is>
          <t>Attributes and behaviour?</t>
        </is>
      </c>
      <c r="D14" s="74" t="n"/>
      <c r="E14" s="74" t="inlineStr">
        <is>
          <t>like a black hole but less gravitational pull</t>
        </is>
      </c>
      <c r="F14" s="74" t="inlineStr">
        <is>
          <t>Black-hole-like, weaker → ST-02, HZ-06, calculator.</t>
        </is>
      </c>
      <c r="G14" s="74" t="inlineStr">
        <is>
          <t>Agreed</t>
        </is>
      </c>
    </row>
    <row r="15" ht="35.05" customHeight="1" s="67">
      <c r="A15" s="74" t="inlineStr">
        <is>
          <t>Q-10</t>
        </is>
      </c>
      <c r="B15" s="74" t="inlineStr">
        <is>
          <t>Physics</t>
        </is>
      </c>
      <c r="C15" s="74" t="inlineStr">
        <is>
          <t>Radius or volume? f, g, h? Thresholds?</t>
        </is>
      </c>
      <c r="D15" s="74" t="n"/>
      <c r="E15" s="74" t="inlineStr">
        <is>
          <t>Energy by volume (volume determined by radius). You determine the thresholds which can be configurable</t>
        </is>
      </c>
      <c r="F15" s="74" t="inlineStr">
        <is>
          <t>Volume → DQ-01/02. temp_scale, thresholds, colours Proposed with a live calculator on 7 Stellar.</t>
        </is>
      </c>
      <c r="G15" s="74" t="inlineStr">
        <is>
          <t>Agreed</t>
        </is>
      </c>
    </row>
    <row r="16" ht="35.05" customHeight="1" s="67">
      <c r="A16" s="74" t="inlineStr">
        <is>
          <t>Q-11</t>
        </is>
      </c>
      <c r="B16" s="74" t="inlineStr">
        <is>
          <t>Wormholes</t>
        </is>
      </c>
      <c r="C16" s="74" t="inlineStr">
        <is>
          <t>Fixed pairs? Same galaxy? Survivable?</t>
        </is>
      </c>
      <c r="D16" s="74" t="n"/>
      <c r="E16" s="74" t="inlineStr">
        <is>
          <t>fixed pairs set at seeding! Can end up in same galaxy or different galaxy. Ship can survive when it crosses through.</t>
        </is>
      </c>
      <c r="F16" s="74" t="inlineStr">
        <is>
          <t>Fixed pairs at seeding, any galaxy, survivable → ST-04, HZ-05.</t>
        </is>
      </c>
      <c r="G16" s="74" t="inlineStr">
        <is>
          <t>Agreed</t>
        </is>
      </c>
    </row>
    <row r="17" ht="35.05" customHeight="1" s="67">
      <c r="A17" s="74" t="inlineStr">
        <is>
          <t>Q-12</t>
        </is>
      </c>
      <c r="B17" s="74" t="inlineStr">
        <is>
          <t>Combat model</t>
        </is>
      </c>
      <c r="C17" s="74" t="inlineStr">
        <is>
          <t>Range, weapons, destruction, rounds, loot, peace X%?</t>
        </is>
      </c>
      <c r="D17" s="74" t="n"/>
      <c r="E17" s="74" t="inlineStr">
        <is>
          <t>come up with a solid recommendation here please</t>
        </is>
      </c>
      <c r="F17" s="74" t="inlineStr">
        <is>
          <t>Full recommendation on 13 Combat (CM-01…13, CB-01…03), all Proposed. Peace formula → chat question 4.</t>
        </is>
      </c>
      <c r="G17" s="74" t="inlineStr">
        <is>
          <t>Agreed</t>
        </is>
      </c>
    </row>
    <row r="18" ht="46.25" customHeight="1" s="67">
      <c r="A18" s="74" t="inlineStr">
        <is>
          <t>Q-13</t>
        </is>
      </c>
      <c r="B18" s="74" t="inlineStr">
        <is>
          <t>Fleet &amp; AI</t>
        </is>
      </c>
      <c r="C18" s="74" t="inlineStr">
        <is>
          <t>Inactive ships? Limit? AI captains? Fleet battles?</t>
        </is>
      </c>
      <c r="D18" s="74" t="n"/>
      <c r="E18" s="74" t="inlineStr">
        <is>
          <t>yes multiple ships can be in play in a battle, there can be a fleet. No limit I reckon, if multiple ships engage they they all engage in the same battle rules. Hope that is clear - let me know if not</t>
        </is>
      </c>
      <c r="F18" s="74" t="inlineStr">
        <is>
          <t>No limit; fleets fight as one → OV-08, FL-05, CM-12. Inactive-ship and AI-count defaults Proposed (FL-03, SP-06).</t>
        </is>
      </c>
      <c r="G18" s="74" t="inlineStr">
        <is>
          <t>Agreed</t>
        </is>
      </c>
    </row>
    <row r="19" ht="57.45" customHeight="1" s="67">
      <c r="A19" s="74" t="inlineStr">
        <is>
          <t>Q-14</t>
        </is>
      </c>
      <c r="B19" s="74" t="inlineStr">
        <is>
          <t>Economy</t>
        </is>
      </c>
      <c r="C19" s="74" t="inlineStr">
        <is>
          <t>Gold / silver? Prices? Sinks? Upgrade map? Items per captain or ship?</t>
        </is>
      </c>
      <c r="D19" s="74" t="n"/>
      <c r="E19" s="74" t="inlineStr">
        <is>
          <t>you can buy items with gold/silver. One gold coin is worth 20 silver coins. So gold is rarer than silver. Items are per captain. 
What do you mean by wealth sinks? Upgrade map?</t>
        </is>
      </c>
      <c r="F19" s="74" t="inlineStr">
        <is>
          <t>1 gold = 20 silver; buy items; items per captain → TR-01/04, SH-10, CP-04. Upgrade map, prices and the element catalogue are config sections (chat A17) → tab 12, CFG [upgrades] [prices] [elements].</t>
        </is>
      </c>
      <c r="G19" s="74" t="inlineStr">
        <is>
          <t>Agreed</t>
        </is>
      </c>
    </row>
    <row r="20" ht="79.84999999999999" customHeight="1" s="67">
      <c r="A20" s="74" t="inlineStr">
        <is>
          <t>Q-15</t>
        </is>
      </c>
      <c r="B20" s="74" t="inlineStr">
        <is>
          <t>Endgame thresholds</t>
        </is>
      </c>
      <c r="C20" s="74" t="inlineStr">
        <is>
          <t>Thresholds; required items; the ultimate item?</t>
        </is>
      </c>
      <c r="D20" s="74" t="n"/>
      <c r="E20" s="74" t="inlineStr">
        <is>
          <t>respect levels and fear levels are int. when reached to e.g. 90% on both, and enough gold and silver (you determine what values) then they are eligible to find the ultimate secret item which will be guardedi in a sector in a galaxy surrounded by ships which need to be battled. the location of the ultimate secret item can be set somewhere far from current location.</t>
        </is>
      </c>
      <c r="F20" s="74" t="inlineStr">
        <is>
          <t>Ints, 90 thresholds, wealth threshold Proposed, guarded far-away sector → EG-01…06, SP-08, CM-13.</t>
        </is>
      </c>
      <c r="G20" s="74" t="inlineStr">
        <is>
          <t>Agreed</t>
        </is>
      </c>
    </row>
    <row r="21" ht="57.45" customHeight="1" s="67">
      <c r="A21" s="74" t="inlineStr">
        <is>
          <t>Q-16</t>
        </is>
      </c>
      <c r="B21" s="74" t="inlineStr">
        <is>
          <t>Win / lose</t>
        </is>
      </c>
      <c r="C21" s="74" t="inlineStr">
        <is>
          <t>Does the game end? Lose condition?</t>
        </is>
      </c>
      <c r="D21" s="74" t="n"/>
      <c r="E21" s="74" t="inlineStr">
        <is>
          <t>Answered 2026-10-25. WIN: the game does not end; becoming Master of Starbour triggers a celebration and ceremony, then play carries on (D-07). LOSE: losing a battle loses the game and the player starts again (D-09). Definition of 'losing' → Q-29.</t>
        </is>
      </c>
      <c r="F21" s="74" t="inlineStr">
        <is>
          <t>Closed earlier (D-07, D-09).</t>
        </is>
      </c>
      <c r="G21" s="74" t="inlineStr">
        <is>
          <t>Agreed</t>
        </is>
      </c>
    </row>
    <row r="22" ht="23.85" customHeight="1" s="67">
      <c r="A22" s="74" t="inlineStr">
        <is>
          <t>Q-17</t>
        </is>
      </c>
      <c r="B22" s="74" t="inlineStr">
        <is>
          <t>Grid zoom</t>
        </is>
      </c>
      <c r="C22" s="74" t="inlineStr">
        <is>
          <t>'view' command, auto-follow, both?</t>
        </is>
      </c>
      <c r="D22" s="74" t="inlineStr">
        <is>
          <t>A) Auto-follow + 'view' override [ASSUMED]</t>
        </is>
      </c>
      <c r="E22" s="74" t="inlineStr">
        <is>
          <t>Agreed</t>
        </is>
      </c>
      <c r="F22" s="74" t="inlineStr">
        <is>
          <t>A → GRD-02, CMD-05.</t>
        </is>
      </c>
      <c r="G22" s="74" t="inlineStr">
        <is>
          <t>Agreed</t>
        </is>
      </c>
    </row>
    <row r="23" ht="23.85" customHeight="1" s="67">
      <c r="A23" s="74" t="inlineStr">
        <is>
          <t>Q-18</t>
        </is>
      </c>
      <c r="B23" s="74" t="inlineStr">
        <is>
          <t>Bus &amp; engine</t>
        </is>
      </c>
      <c r="C23" s="74" t="inlineStr">
        <is>
          <t>IPC? Separate engine process?</t>
        </is>
      </c>
      <c r="D23" s="74" t="inlineStr">
        <is>
          <t>A) Engine process + ZeroMQ [ASSUMED]  B) In-process queues</t>
        </is>
      </c>
      <c r="E23" s="74" t="inlineStr">
        <is>
          <t>Agreed</t>
        </is>
      </c>
      <c r="F23" s="74" t="inlineStr">
        <is>
          <t>A → BUS-03/04, T0.</t>
        </is>
      </c>
      <c r="G23" s="74" t="inlineStr">
        <is>
          <t>Agreed</t>
        </is>
      </c>
    </row>
    <row r="24" ht="46.25" customHeight="1" s="67">
      <c r="A24" s="74" t="inlineStr">
        <is>
          <t>Q-19</t>
        </is>
      </c>
      <c r="B24" s="74" t="inlineStr">
        <is>
          <t>Food &amp; water</t>
        </is>
      </c>
      <c r="C24" s="74" t="inlineStr">
        <is>
          <t>What are they for?</t>
        </is>
      </c>
      <c r="D24" s="74" t="n"/>
      <c r="E24" s="74" t="inlineStr">
        <is>
          <t>yes crew and captain consumption which is depleted every turn -1, so its important for the captain to purchase food and water when possible</t>
        </is>
      </c>
      <c r="F24" s="74" t="inlineStr">
        <is>
          <t>−1 per turn, buy from planets → IT-01/02, CP-07. At 0: mutiny (A11); move to another owned ship if any, else demotion (A19); mutineers become an AI captain (A18) → SUP-01…05, OUT-18.</t>
        </is>
      </c>
      <c r="G24" s="74" t="inlineStr">
        <is>
          <t>Agreed</t>
        </is>
      </c>
    </row>
    <row r="25" ht="15" customHeight="1" s="67">
      <c r="A25" s="74" t="inlineStr">
        <is>
          <t>Q-20</t>
        </is>
      </c>
      <c r="B25" s="74" t="inlineStr">
        <is>
          <t>Crystal naming</t>
        </is>
      </c>
      <c r="C25" s="74" t="inlineStr">
        <is>
          <t>Original name for the powerful crystal?</t>
        </is>
      </c>
      <c r="D25" s="74" t="n"/>
      <c r="E25" s="74" t="inlineStr">
        <is>
          <t>use real crystal names and mythical crystal names</t>
        </is>
      </c>
      <c r="F25" s="74" t="inlineStr">
        <is>
          <t>Real + mythical names → EL-01…12 Proposed.</t>
        </is>
      </c>
      <c r="G25" s="74" t="inlineStr">
        <is>
          <t>Agreed</t>
        </is>
      </c>
    </row>
    <row r="26" ht="91" customHeight="1" s="67">
      <c r="A26" s="74" t="inlineStr">
        <is>
          <t>Q-21</t>
        </is>
      </c>
      <c r="B26" s="74" t="inlineStr">
        <is>
          <t>Planets</t>
        </is>
      </c>
      <c r="C26" s="74" t="inlineStr">
        <is>
          <t>Attackable? Conquest? Regeneration?</t>
        </is>
      </c>
      <c r="D26" s="74" t="n"/>
      <c r="E26" s="74" t="inlineStr">
        <is>
          <t>yes planets can be attacked and vice versa, e.g. if a planet prezident does not like the captain, or if the captain gets greedy or has good reason to battle, if a planet gets destroyed in battle then can take all resources, or a peace would ensure x% goes to the victor (i.e. the one who does not sought for peace) - hope there is no contradiction here, perhaps you can come up with a better suggestion otherwise</t>
        </is>
      </c>
      <c r="F26" s="74" t="inlineStr">
        <is>
          <t>Attackable both ways; destroyed = looted; peace X% to the side that did not sue → PR-02, CM-11, CB-03 (formula agreed, chat A12).</t>
        </is>
      </c>
      <c r="G26" s="74" t="inlineStr">
        <is>
          <t>Agreed</t>
        </is>
      </c>
    </row>
    <row r="27" ht="35.05" customHeight="1" s="67">
      <c r="A27" s="74" t="inlineStr">
        <is>
          <t>Q-22</t>
        </is>
      </c>
      <c r="B27" s="74" t="inlineStr">
        <is>
          <t>Opponent strength</t>
        </is>
      </c>
      <c r="C27" s="74" t="inlineStr">
        <is>
          <t>How is stronger / weaker computed?</t>
        </is>
      </c>
      <c r="D27" s="74" t="n"/>
      <c r="E27" s="74" t="inlineStr">
        <is>
          <t>stronger / weaker is determined by shields and weapons strength, fleet included yes since they act as one unit against the other</t>
        </is>
      </c>
      <c r="F27" s="74" t="inlineStr">
        <is>
          <t>Shields + weapons, fleet included → CM-08 (formula Proposed).</t>
        </is>
      </c>
      <c r="G27" s="74" t="inlineStr">
        <is>
          <t>Agreed</t>
        </is>
      </c>
    </row>
    <row r="28" ht="23.85" customHeight="1" s="67">
      <c r="A28" s="74" t="inlineStr">
        <is>
          <t>Q-23</t>
        </is>
      </c>
      <c r="B28" s="74" t="inlineStr">
        <is>
          <t>Respect stacking</t>
        </is>
      </c>
      <c r="C28" s="74" t="inlineStr">
        <is>
          <t>Do FR-05 and FR-06 both apply?</t>
        </is>
      </c>
      <c r="D28" s="74" t="inlineStr">
        <is>
          <t>A) Both  B) Larger only</t>
        </is>
      </c>
      <c r="E28" s="74" t="inlineStr">
        <is>
          <t>option A</t>
        </is>
      </c>
      <c r="F28" s="74" t="inlineStr">
        <is>
          <t>A → FR-09.</t>
        </is>
      </c>
      <c r="G28" s="74" t="inlineStr">
        <is>
          <t>Agreed</t>
        </is>
      </c>
    </row>
    <row r="29" ht="35.05" customHeight="1" s="67">
      <c r="A29" s="74" t="inlineStr">
        <is>
          <t>Q-24</t>
        </is>
      </c>
      <c r="B29" s="74" t="inlineStr">
        <is>
          <t>Effects of fear &amp; respect</t>
        </is>
      </c>
      <c r="C29" s="74" t="inlineStr">
        <is>
          <t>What do the levels change?</t>
        </is>
      </c>
      <c r="D29" s="74" t="n"/>
      <c r="E29" s="74" t="inlineStr">
        <is>
          <t>all changes I imagine. Challenge me here and be clear what youre asking</t>
        </is>
      </c>
      <c r="F29" s="74" t="inlineStr">
        <is>
          <t>Split agreed in chat (A13): fear → ships yield, respect → planets comply → EF-00…06 (thresholds Proposed).</t>
        </is>
      </c>
      <c r="G29" s="74" t="inlineStr">
        <is>
          <t>Agreed</t>
        </is>
      </c>
    </row>
    <row r="30" ht="23.85" customHeight="1" s="67">
      <c r="A30" s="74" t="inlineStr">
        <is>
          <t>Q-25</t>
        </is>
      </c>
      <c r="B30" s="74" t="inlineStr">
        <is>
          <t>Fourth terminal</t>
        </is>
      </c>
      <c r="C30" s="74" t="inlineStr">
        <is>
          <t>Three or four terminals?</t>
        </is>
      </c>
      <c r="D30" s="74" t="n"/>
      <c r="E30" s="74" t="inlineStr">
        <is>
          <t>What is the purpose of the permanent status? Makes sense to show this, agreed</t>
        </is>
      </c>
      <c r="F30" s="74" t="inlineStr">
        <is>
          <t>T4 Status agreed → 5b T4 Status tab, T4 row.</t>
        </is>
      </c>
      <c r="G30" s="74" t="inlineStr">
        <is>
          <t>Agreed</t>
        </is>
      </c>
    </row>
    <row r="31" ht="68.65000000000001" customHeight="1" s="67">
      <c r="A31" s="74" t="inlineStr">
        <is>
          <t>Q-26</t>
        </is>
      </c>
      <c r="B31" s="74" t="inlineStr">
        <is>
          <t>'Starbour'</t>
        </is>
      </c>
      <c r="C31" s="74" t="inlineStr">
        <is>
          <t>Universe name, title, or both?</t>
        </is>
      </c>
      <c r="D31" s="74" t="inlineStr">
        <is>
          <t>A) Universe + title [ASSUMED]  B) Title only</t>
        </is>
      </c>
      <c r="E31" s="74" t="inlineStr">
        <is>
          <t>no Starbour is a play on words of Harbour / Starshp. Master of Starbour means they win the ultimate secret item (need to come up with a good name like Crystal of Starbour or something like that, which will give the ultimate levels of weapons, shields, engine, warp, etc.)</t>
        </is>
      </c>
      <c r="F31" s="74" t="inlineStr">
        <is>
          <t>Pun, not a place; title comes with the ultimate item → OV-13; names Proposed (EG-05).</t>
        </is>
      </c>
      <c r="G31" s="74" t="inlineStr">
        <is>
          <t>Agreed</t>
        </is>
      </c>
    </row>
    <row r="32" ht="23.85" customHeight="1" s="67">
      <c r="A32" s="74" t="inlineStr">
        <is>
          <t>Q-27</t>
        </is>
      </c>
      <c r="B32" s="74" t="inlineStr">
        <is>
          <t>Licence</t>
        </is>
      </c>
      <c r="C32" s="74" t="inlineStr">
        <is>
          <t>Which licence for the public repo?</t>
        </is>
      </c>
      <c r="D32" s="74" t="n"/>
      <c r="E32" s="74" t="inlineStr">
        <is>
          <t>No license, perhaps we create one</t>
        </is>
      </c>
      <c r="F32" s="74" t="inlineStr">
        <is>
          <t>MIT — you asked Claude to choose (chat A20) → BR-04, D-50.</t>
        </is>
      </c>
      <c r="G32" s="74" t="inlineStr">
        <is>
          <t>Agreed</t>
        </is>
      </c>
    </row>
    <row r="33" ht="23.85" customHeight="1" s="67">
      <c r="A33" s="74" t="inlineStr">
        <is>
          <t>Q-28</t>
        </is>
      </c>
      <c r="B33" s="74" t="inlineStr">
        <is>
          <t>Packaging</t>
        </is>
      </c>
      <c r="C33" s="74" t="inlineStr">
        <is>
          <t>PyInstaller mode, installer, signing, CI, file locations?</t>
        </is>
      </c>
      <c r="D33" s="74" t="inlineStr">
        <is>
          <t>A) One-folder zip on GitHub Releases, unsigned, config next to exe [ASSUMED]</t>
        </is>
      </c>
      <c r="E33" s="74" t="inlineStr">
        <is>
          <t>option A</t>
        </is>
      </c>
      <c r="F33" s="74" t="inlineStr">
        <is>
          <t>A → BR-14…20.</t>
        </is>
      </c>
      <c r="G33" s="74" t="inlineStr">
        <is>
          <t>Agreed</t>
        </is>
      </c>
    </row>
    <row r="34" ht="35.05" customHeight="1" s="67">
      <c r="A34" s="74" t="inlineStr">
        <is>
          <t>Q-29</t>
        </is>
      </c>
      <c r="B34" s="74" t="inlineStr">
        <is>
          <t>What counts as losing</t>
        </is>
      </c>
      <c r="C34" s="74" t="inlineStr">
        <is>
          <t>Destroyed only? Escape / peace? Active or last ship? New seed? Reload?</t>
        </is>
      </c>
      <c r="D34" s="74" t="inlineStr">
        <is>
          <t>A) Active ship destroyed; new seed; no reload [ASSUMED]  B) Last ship  C) Any defeat</t>
        </is>
      </c>
      <c r="E34" s="74" t="inlineStr">
        <is>
          <t>only when ship is destroyed game is over.</t>
        </is>
      </c>
      <c r="F34" s="74" t="inlineStr">
        <is>
          <t>Destroyed only; the active ship (chat A10) → OV-09b, CB-04, FL-04.</t>
        </is>
      </c>
      <c r="G34" s="74" t="inlineStr">
        <is>
          <t>Agreed</t>
        </is>
      </c>
    </row>
    <row r="35" ht="23.85" customHeight="1" s="67">
      <c r="A35" s="74" t="inlineStr">
        <is>
          <t>Q-30</t>
        </is>
      </c>
      <c r="B35" s="74" t="inlineStr">
        <is>
          <t>Fog of war</t>
        </is>
      </c>
      <c r="C35" s="74" t="inlineStr">
        <is>
          <t>Visible from the start or revealed?</t>
        </is>
      </c>
      <c r="D35" s="74" t="inlineStr">
        <is>
          <t>A) Sector hidden until visited [ASSUMED]  B) All visible  C) All hidden</t>
        </is>
      </c>
      <c r="E35" s="74" t="inlineStr">
        <is>
          <t>could we have an option which is configurable to do A or B?</t>
        </is>
      </c>
      <c r="F35" s="74" t="inlineStr">
        <is>
          <t>Configurable A / B → GRD-04, CFG fog_of_war.</t>
        </is>
      </c>
      <c r="G35" s="74" t="inlineStr">
        <is>
          <t>Agreed</t>
        </is>
      </c>
    </row>
    <row r="36" ht="23.85" customHeight="1" s="67">
      <c r="A36" s="74" t="inlineStr">
        <is>
          <t>Q-31</t>
        </is>
      </c>
      <c r="B36" s="74" t="inlineStr">
        <is>
          <t>Refresh model</t>
        </is>
      </c>
      <c r="C36" s="74" t="inlineStr">
        <is>
          <t>Live or once per turn?</t>
        </is>
      </c>
      <c r="D36" s="74" t="inlineStr">
        <is>
          <t>A) Once per turn.resolved [ASSUMED]  B) Live</t>
        </is>
      </c>
      <c r="E36" s="74" t="inlineStr">
        <is>
          <t>Resolved oncer per turn resolved</t>
        </is>
      </c>
      <c r="F36" s="74" t="inlineStr">
        <is>
          <t>Once per turn → BUS-05, GRD-06.</t>
        </is>
      </c>
      <c r="G36" s="74" t="inlineStr">
        <is>
          <t>Agreed</t>
        </is>
      </c>
    </row>
    <row r="37" ht="23.85" customHeight="1" s="67">
      <c r="A37" s="74" t="inlineStr">
        <is>
          <t>Q-32</t>
        </is>
      </c>
      <c r="B37" s="74" t="inlineStr">
        <is>
          <t>Launcher lifecycle</t>
        </is>
      </c>
      <c r="C37" s="74" t="inlineStr">
        <is>
          <t>Who opens / closes the terminals?</t>
        </is>
      </c>
      <c r="D37" s="74" t="inlineStr">
        <is>
          <t>A) Launcher owns children [ASSUMED]</t>
        </is>
      </c>
      <c r="E37" s="74" t="inlineStr">
        <is>
          <t>option A</t>
        </is>
      </c>
      <c r="F37" s="74" t="inlineStr">
        <is>
          <t>A → TL, BUS-06.</t>
        </is>
      </c>
      <c r="G37" s="74" t="inlineStr">
        <is>
          <t>Agreed</t>
        </is>
      </c>
    </row>
    <row r="38" ht="23.85" customHeight="1" s="67">
      <c r="A38" s="74" t="inlineStr">
        <is>
          <t>Q-33</t>
        </is>
      </c>
      <c r="B38" s="74" t="inlineStr">
        <is>
          <t>Save / load</t>
        </is>
      </c>
      <c r="C38" s="74" t="inlineStr">
        <is>
          <t>Slots? Autosave? Reload after loss?</t>
        </is>
      </c>
      <c r="D38" s="74" t="inlineStr">
        <is>
          <t>A) Autosave, one slot, deleted on game over [ASSUMED]  B) Manual</t>
        </is>
      </c>
      <c r="E38" s="74" t="inlineStr">
        <is>
          <t>option A</t>
        </is>
      </c>
      <c r="F38" s="74" t="inlineStr">
        <is>
          <t>A → OV-12, OV-09c, CMD-19.</t>
        </is>
      </c>
      <c r="G38" s="74" t="inlineStr">
        <is>
          <t>Agreed</t>
        </is>
      </c>
    </row>
    <row r="39" ht="23.85" customHeight="1" s="67">
      <c r="A39" s="74" t="inlineStr">
        <is>
          <t>Q-34</t>
        </is>
      </c>
      <c r="B39" s="74" t="inlineStr">
        <is>
          <t>Errors &amp; confirmations</t>
        </is>
      </c>
      <c r="C39" s="74" t="inlineStr">
        <is>
          <t>Where do errors appear? What confirms?</t>
        </is>
      </c>
      <c r="D39" s="74" t="inlineStr">
        <is>
          <t>A) Inline on T1 + T3 echo; confirm fights and quit [ASSUMED]</t>
        </is>
      </c>
      <c r="E39" s="74" t="inlineStr">
        <is>
          <t>option A</t>
        </is>
      </c>
      <c r="F39" s="74" t="inlineStr">
        <is>
          <t>A → UX-03/04, OUT-13.</t>
        </is>
      </c>
      <c r="G39" s="74" t="inlineStr">
        <is>
          <t>Agreed</t>
        </is>
      </c>
    </row>
    <row r="40" ht="57.45" customHeight="1" s="67">
      <c r="A40" s="74" t="inlineStr">
        <is>
          <t>Q-35</t>
        </is>
      </c>
      <c r="B40" s="74" t="inlineStr">
        <is>
          <t>Pacing</t>
        </is>
      </c>
      <c r="C40" s="74" t="inlineStr">
        <is>
          <t>Turns to mastery? Battle frequency?</t>
        </is>
      </c>
      <c r="D40" s="74" t="n"/>
      <c r="E40" s="74" t="inlineStr">
        <is>
          <t>Battle can happen on average say 5-7 turns, can be longer or shorter. Mastery is achieved once the ultimate secret item is obtained, that could take a long time, e.g. 100 turns maybe longer, maybe a bit shorter say 70 turns</t>
        </is>
      </c>
      <c r="F40" s="74" t="inlineStr">
        <is>
          <t>Rough feel only — no fixed turn counts (chat A15). All numbers are placeholders tuned by playtest → OV-11, LV-05.</t>
        </is>
      </c>
      <c r="G40" s="74" t="inlineStr">
        <is>
          <t>Agreed</t>
        </is>
      </c>
    </row>
    <row r="41" ht="23.85" customHeight="1" s="67">
      <c r="A41" s="74" t="inlineStr">
        <is>
          <t>Q-36</t>
        </is>
      </c>
      <c r="B41" s="74" t="inlineStr">
        <is>
          <t>Fear &amp; respect — extra events</t>
        </is>
      </c>
      <c r="C41" s="74" t="inlineStr">
        <is>
          <t>Mercy, escape, decay, visibility?</t>
        </is>
      </c>
      <c r="D41" s="74" t="inlineStr">
        <is>
          <t>A) None extra, no decay, visible in sector [ASSUMED]</t>
        </is>
      </c>
      <c r="E41" s="74" t="inlineStr">
        <is>
          <t>option A</t>
        </is>
      </c>
      <c r="F41" s="74" t="inlineStr">
        <is>
          <t>A → FR-10, LV-04.</t>
        </is>
      </c>
      <c r="G41" s="74" t="inlineStr">
        <is>
          <t>Agreed</t>
        </is>
      </c>
    </row>
    <row r="42" ht="91" customHeight="1" s="67">
      <c r="A42" s="74" t="inlineStr">
        <is>
          <t>Q-37</t>
        </is>
      </c>
      <c r="B42" s="74" t="inlineStr">
        <is>
          <t>Mastery ceremony</t>
        </is>
      </c>
      <c r="C42" s="74" t="inlineStr">
        <is>
          <t>What does it look like? What changes after?</t>
        </is>
      </c>
      <c r="D42" s="74" t="n"/>
      <c r="E42" s="74" t="inlineStr">
        <is>
          <t>something fancy with nice terminal graphics of fireworks and big smart art words. Nothing changes afterwards except respect and fear are maximum levels along with weapons, shields, etc. 
Remember ships and planets will be more compliant with these levels so nothing really changes - hope that makes sense</t>
        </is>
      </c>
      <c r="F42" s="74" t="inlineStr">
        <is>
          <t>Fireworks + ASCII title; nothing else changes → OUT-15, EG-08, EF-06.</t>
        </is>
      </c>
      <c r="G42" s="74" t="inlineStr">
        <is>
          <t>Agreed</t>
        </is>
      </c>
    </row>
    <row r="43" ht="15" customHeight="1" s="67">
      <c r="A43" s="74" t="n"/>
      <c r="B43" s="74" t="n"/>
      <c r="C43" s="74" t="n"/>
      <c r="D43" s="74" t="n"/>
      <c r="E43" s="74" t="n"/>
      <c r="F43" s="74" t="n"/>
      <c r="G43" s="74" t="n"/>
    </row>
    <row r="44" ht="15" customHeight="1" s="67">
      <c r="A44" s="74" t="n"/>
      <c r="B44" s="74" t="n"/>
      <c r="C44" s="74" t="n"/>
      <c r="D44" s="74" t="n"/>
      <c r="E44" s="74" t="n"/>
      <c r="F44" s="74" t="n"/>
      <c r="G44" s="74" t="n"/>
    </row>
    <row r="45" ht="15" customHeight="1" s="67">
      <c r="A45" s="74" t="n"/>
      <c r="B45" s="74" t="n"/>
      <c r="C45" s="74" t="n"/>
      <c r="D45" s="74" t="n"/>
      <c r="E45" s="74" t="n"/>
      <c r="F45" s="74" t="n"/>
      <c r="G45" s="74" t="n"/>
    </row>
  </sheetData>
  <autoFilter ref="A5:G45"/>
  <conditionalFormatting sqref="G6:G45">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dataValidations count="1">
    <dataValidation sqref="G6:G45"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375623"/>
    <outlinePr summaryBelow="1" summaryRight="1"/>
    <pageSetUpPr fitToPage="1"/>
  </sheetPr>
  <dimension ref="A1:F6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12" customWidth="1" style="66" min="2" max="2"/>
    <col width="60" customWidth="1" style="66" min="3" max="3"/>
    <col width="34" customWidth="1" style="66" min="4" max="4"/>
    <col width="16" customWidth="1" style="66" min="5" max="5"/>
    <col width="13" customWidth="1" style="66" min="6" max="6"/>
  </cols>
  <sheetData>
    <row r="1" ht="17.35" customHeight="1" s="67">
      <c r="A1" s="68" t="inlineStr">
        <is>
          <t>17 · Decisions</t>
        </is>
      </c>
    </row>
    <row r="2" ht="15" customHeight="1" s="67">
      <c r="A2" s="69" t="inlineStr">
        <is>
          <t>Settled decisions only. Exported to DECISIONS.md when the build kit is produced.</t>
        </is>
      </c>
    </row>
    <row r="3" ht="15" customHeight="1" s="67">
      <c r="A3" s="70">
        <f>HYPERLINK("#'0 Index'!A1","↩ Index")</f>
        <v/>
      </c>
    </row>
    <row r="5" ht="15" customHeight="1" s="67">
      <c r="A5" s="126" t="inlineStr">
        <is>
          <t>ID</t>
        </is>
      </c>
      <c r="B5" s="126" t="inlineStr">
        <is>
          <t>Date</t>
        </is>
      </c>
      <c r="C5" s="126" t="inlineStr">
        <is>
          <t>Decision</t>
        </is>
      </c>
      <c r="D5" s="126" t="inlineStr">
        <is>
          <t>Rationale / source</t>
        </is>
      </c>
      <c r="E5" s="126" t="inlineStr">
        <is>
          <t>Ref</t>
        </is>
      </c>
      <c r="F5" s="126" t="inlineStr">
        <is>
          <t>Status</t>
        </is>
      </c>
    </row>
    <row r="6" ht="15" customHeight="1" s="67">
      <c r="A6" s="74" t="inlineStr">
        <is>
          <t>D-01</t>
        </is>
      </c>
      <c r="B6" s="74" t="inlineStr">
        <is>
          <t>2026-10-25</t>
        </is>
      </c>
      <c r="C6" s="74" t="inlineStr">
        <is>
          <t>Python 3.12, shipped as a Windows 10/11 executable.</t>
        </is>
      </c>
      <c r="D6" s="74" t="inlineStr">
        <is>
          <t>Project fixed facts.</t>
        </is>
      </c>
      <c r="E6" s="74" t="n"/>
      <c r="F6" s="74" t="inlineStr">
        <is>
          <t>Agreed</t>
        </is>
      </c>
    </row>
    <row r="7" ht="23.85" customHeight="1" s="67">
      <c r="A7" s="74" t="inlineStr">
        <is>
          <t>D-02</t>
        </is>
      </c>
      <c r="B7" s="74" t="inlineStr">
        <is>
          <t>2026-10-25</t>
        </is>
      </c>
      <c r="C7" s="74" t="inlineStr">
        <is>
          <t>One command terminal plus output terminals over a local message bus; one process per terminal, threads within.</t>
        </is>
      </c>
      <c r="D7" s="74" t="inlineStr">
        <is>
          <t>BP r15–21; Project.</t>
        </is>
      </c>
      <c r="E7" s="74" t="inlineStr">
        <is>
          <t>BUS-01, BUS-02</t>
        </is>
      </c>
      <c r="F7" s="74" t="inlineStr">
        <is>
          <t>Agreed</t>
        </is>
      </c>
    </row>
    <row r="8" ht="15" customHeight="1" s="67">
      <c r="A8" s="74" t="inlineStr">
        <is>
          <t>D-03</t>
        </is>
      </c>
      <c r="B8" s="74" t="inlineStr">
        <is>
          <t>2026-10-25</t>
        </is>
      </c>
      <c r="C8" s="74" t="inlineStr">
        <is>
          <t>All names are original; no franchise lore.</t>
        </is>
      </c>
      <c r="D8" s="74" t="inlineStr">
        <is>
          <t>Project instructions.</t>
        </is>
      </c>
      <c r="E8" s="74" t="inlineStr">
        <is>
          <t>Q-20</t>
        </is>
      </c>
      <c r="F8" s="74" t="inlineStr">
        <is>
          <t>Agreed</t>
        </is>
      </c>
    </row>
    <row r="9" ht="15" customHeight="1" s="67">
      <c r="A9" s="74" t="inlineStr">
        <is>
          <t>D-04</t>
        </is>
      </c>
      <c r="B9" s="74" t="inlineStr">
        <is>
          <t>2026-10-25</t>
        </is>
      </c>
      <c r="C9" s="74" t="inlineStr">
        <is>
          <t>The game is called Master of Starbour.</t>
        </is>
      </c>
      <c r="D9" s="74" t="inlineStr">
        <is>
          <t>Chat A1.</t>
        </is>
      </c>
      <c r="E9" s="74" t="inlineStr">
        <is>
          <t>BR-01</t>
        </is>
      </c>
      <c r="F9" s="74" t="inlineStr">
        <is>
          <t>Agreed</t>
        </is>
      </c>
    </row>
    <row r="10" ht="23.85" customHeight="1" s="67">
      <c r="A10" s="74" t="inlineStr">
        <is>
          <t>D-05</t>
        </is>
      </c>
      <c r="B10" s="74" t="inlineStr">
        <is>
          <t>2026-10-25</t>
        </is>
      </c>
      <c r="C10" s="74" t="inlineStr">
        <is>
          <t>Repository git@github.com:selphaware/master-of-starbour.git — public; source code and installable package.</t>
        </is>
      </c>
      <c r="D10" s="74" t="inlineStr">
        <is>
          <t>Chat A2–A3.</t>
        </is>
      </c>
      <c r="E10" s="74" t="inlineStr">
        <is>
          <t>BR-02, BR-03</t>
        </is>
      </c>
      <c r="F10" s="74" t="inlineStr">
        <is>
          <t>Agreed</t>
        </is>
      </c>
    </row>
    <row r="11" ht="15" customHeight="1" s="67">
      <c r="A11" s="74" t="inlineStr">
        <is>
          <t>D-06</t>
        </is>
      </c>
      <c r="B11" s="74" t="inlineStr">
        <is>
          <t>2026-10-25</t>
        </is>
      </c>
      <c r="C11" s="74" t="inlineStr">
        <is>
          <t>Delivered as a downloadable executable package for Windows.</t>
        </is>
      </c>
      <c r="D11" s="74" t="inlineStr">
        <is>
          <t>Chat A3.</t>
        </is>
      </c>
      <c r="E11" s="74" t="inlineStr">
        <is>
          <t>BR-13</t>
        </is>
      </c>
      <c r="F11" s="74" t="inlineStr">
        <is>
          <t>Agreed</t>
        </is>
      </c>
    </row>
    <row r="12" ht="23.85" customHeight="1" s="67">
      <c r="A12" s="74" t="inlineStr">
        <is>
          <t>D-07</t>
        </is>
      </c>
      <c r="B12" s="74" t="inlineStr">
        <is>
          <t>2026-10-25</t>
        </is>
      </c>
      <c r="C12" s="74" t="inlineStr">
        <is>
          <t>The game never ends on success: mastery triggers a celebration and ceremony, then play carries on.</t>
        </is>
      </c>
      <c r="D12" s="74" t="inlineStr">
        <is>
          <t>Chat A4.</t>
        </is>
      </c>
      <c r="E12" s="74" t="inlineStr">
        <is>
          <t>OV-09</t>
        </is>
      </c>
      <c r="F12" s="74" t="inlineStr">
        <is>
          <t>Agreed</t>
        </is>
      </c>
    </row>
    <row r="13" ht="23.85" customHeight="1" s="67">
      <c r="A13" s="74" t="inlineStr">
        <is>
          <t>D-08</t>
        </is>
      </c>
      <c r="B13" s="74" t="inlineStr">
        <is>
          <t>2026-10-25</t>
        </is>
      </c>
      <c r="C13" s="74" t="inlineStr">
        <is>
          <t>Dev environment: root E:\CODE\master-of-starbour; venv MOS; python E:\CODE\master-of-starbour\MOS\Scripts\python.exe.</t>
        </is>
      </c>
      <c r="D13" s="74" t="inlineStr">
        <is>
          <t>Chat A5–A6.</t>
        </is>
      </c>
      <c r="E13" s="74" t="inlineStr">
        <is>
          <t>BR-06…08</t>
        </is>
      </c>
      <c r="F13" s="74" t="inlineStr">
        <is>
          <t>Agreed</t>
        </is>
      </c>
    </row>
    <row r="14" ht="15" customHeight="1" s="67">
      <c r="A14" s="74" t="inlineStr">
        <is>
          <t>D-09</t>
        </is>
      </c>
      <c r="B14" s="74" t="inlineStr">
        <is>
          <t>2026-10-25</t>
        </is>
      </c>
      <c r="C14" s="74" t="inlineStr">
        <is>
          <t>Losing a battle loses the game; the player starts again.</t>
        </is>
      </c>
      <c r="D14" s="74" t="inlineStr">
        <is>
          <t>Chat A6.</t>
        </is>
      </c>
      <c r="E14" s="74" t="inlineStr">
        <is>
          <t>OV-09b</t>
        </is>
      </c>
      <c r="F14" s="74" t="inlineStr">
        <is>
          <t>Agreed</t>
        </is>
      </c>
    </row>
    <row r="15" ht="15" customHeight="1" s="67">
      <c r="A15" s="74" t="inlineStr">
        <is>
          <t>D-10</t>
        </is>
      </c>
      <c r="B15" s="74" t="inlineStr">
        <is>
          <t>2026-10-25</t>
        </is>
      </c>
      <c r="C15" s="74" t="inlineStr">
        <is>
          <t>The repo is public; git operations over SSH.</t>
        </is>
      </c>
      <c r="D15" s="74" t="inlineStr">
        <is>
          <t>Chat A7.</t>
        </is>
      </c>
      <c r="E15" s="74" t="inlineStr">
        <is>
          <t>BR-23</t>
        </is>
      </c>
      <c r="F15" s="74" t="inlineStr">
        <is>
          <t>Agreed</t>
        </is>
      </c>
    </row>
    <row r="16" ht="15" customHeight="1" s="67">
      <c r="A16" s="74" t="inlineStr">
        <is>
          <t>D-11</t>
        </is>
      </c>
      <c r="B16" s="74" t="inlineStr">
        <is>
          <t>2026-10-25</t>
        </is>
      </c>
      <c r="C16" s="74" t="inlineStr">
        <is>
          <t>The game is colourful: every terminal uses colour throughout.</t>
        </is>
      </c>
      <c r="D16" s="74" t="inlineStr">
        <is>
          <t>Chat A8.</t>
        </is>
      </c>
      <c r="E16" s="74" t="inlineStr">
        <is>
          <t>OV-01, UX-08</t>
        </is>
      </c>
      <c r="F16" s="74" t="inlineStr">
        <is>
          <t>Agreed</t>
        </is>
      </c>
    </row>
    <row r="17" ht="23.85" customHeight="1" s="67">
      <c r="A17" s="74" t="inlineStr">
        <is>
          <t>D-12</t>
        </is>
      </c>
      <c r="B17" s="74" t="inlineStr">
        <is>
          <t>2026-10-25</t>
        </is>
      </c>
      <c r="C17" s="74" t="inlineStr">
        <is>
          <t>Turns resolve simultaneously for all captains in the fixed phase order TP-01…08.</t>
        </is>
      </c>
      <c r="D17" s="74" t="inlineStr">
        <is>
          <t>Ans Q-01.</t>
        </is>
      </c>
      <c r="E17" s="74" t="inlineStr">
        <is>
          <t>OV-02</t>
        </is>
      </c>
      <c r="F17" s="74" t="inlineStr">
        <is>
          <t>Agreed</t>
        </is>
      </c>
    </row>
    <row r="18" ht="23.85" customHeight="1" s="67">
      <c r="A18" s="74" t="inlineStr">
        <is>
          <t>D-13</t>
        </is>
      </c>
      <c r="B18" s="74" t="inlineStr">
        <is>
          <t>2026-10-25</t>
        </is>
      </c>
      <c r="C18" s="74" t="inlineStr">
        <is>
          <t>Impulse 1 = 1 sector cell per turn, linear; warp reach grows exponentially with the factor; warp 10 = anywhere; gravity pull nets against speed.</t>
        </is>
      </c>
      <c r="D18" s="74" t="inlineStr">
        <is>
          <t>Ans Q-02.</t>
        </is>
      </c>
      <c r="E18" s="74" t="inlineStr">
        <is>
          <t>MV-01…03</t>
        </is>
      </c>
      <c r="F18" s="74" t="inlineStr">
        <is>
          <t>Agreed</t>
        </is>
      </c>
    </row>
    <row r="19" ht="23.85" customHeight="1" s="67">
      <c r="A19" s="74" t="inlineStr">
        <is>
          <t>D-14</t>
        </is>
      </c>
      <c r="B19" s="74" t="inlineStr">
        <is>
          <t>2026-10-25</t>
        </is>
      </c>
      <c r="C19" s="74" t="inlineStr">
        <is>
          <t>Falling into a star or black hole is fatal if the ship does not get out in time; black holes allow less time and need more engine power.</t>
        </is>
      </c>
      <c r="D19" s="74" t="inlineStr">
        <is>
          <t>Ans Q-02.</t>
        </is>
      </c>
      <c r="E19" s="74" t="inlineStr">
        <is>
          <t>HZ-02, HZ-04</t>
        </is>
      </c>
      <c r="F19" s="74" t="inlineStr">
        <is>
          <t>Agreed</t>
        </is>
      </c>
    </row>
    <row r="20" ht="15" customHeight="1" s="67">
      <c r="A20" s="74" t="inlineStr">
        <is>
          <t>D-15</t>
        </is>
      </c>
      <c r="B20" s="74" t="inlineStr">
        <is>
          <t>2026-10-25</t>
        </is>
      </c>
      <c r="C20" s="74" t="inlineStr">
        <is>
          <t>At 0 shields the next hit destroys the ship; there is no separate hull stat.</t>
        </is>
      </c>
      <c r="D20" s="74" t="inlineStr">
        <is>
          <t>Ans Q-03.</t>
        </is>
      </c>
      <c r="E20" s="74" t="inlineStr">
        <is>
          <t>HZ-09, SH-07</t>
        </is>
      </c>
      <c r="F20" s="74" t="inlineStr">
        <is>
          <t>Agreed</t>
        </is>
      </c>
    </row>
    <row r="21" ht="15" customHeight="1" s="67">
      <c r="A21" s="74" t="inlineStr">
        <is>
          <t>D-16</t>
        </is>
      </c>
      <c r="B21" s="74" t="inlineStr">
        <is>
          <t>2026-10-25</t>
        </is>
      </c>
      <c r="C21" s="74" t="inlineStr">
        <is>
          <t>Grids are sparse.</t>
        </is>
      </c>
      <c r="D21" s="74" t="inlineStr">
        <is>
          <t>Ans Q-04.</t>
        </is>
      </c>
      <c r="E21" s="74" t="inlineStr">
        <is>
          <t>WG-00</t>
        </is>
      </c>
      <c r="F21" s="74" t="inlineStr">
        <is>
          <t>Agreed</t>
        </is>
      </c>
    </row>
    <row r="22" ht="23.85" customHeight="1" s="67">
      <c r="A22" s="74" t="inlineStr">
        <is>
          <t>D-17</t>
        </is>
      </c>
      <c r="B22" s="74" t="inlineStr">
        <is>
          <t>2026-10-25</t>
        </is>
      </c>
      <c r="C22" s="74" t="inlineStr">
        <is>
          <t>Grid dimensions are config keys; the Grid terminal switches between sector, galaxy and universe views.</t>
        </is>
      </c>
      <c r="D22" s="74" t="inlineStr">
        <is>
          <t>Ans Q-05.</t>
        </is>
      </c>
      <c r="E22" s="74" t="inlineStr">
        <is>
          <t>VW-01…03</t>
        </is>
      </c>
      <c r="F22" s="74" t="inlineStr">
        <is>
          <t>Agreed</t>
        </is>
      </c>
    </row>
    <row r="23" ht="23.85" customHeight="1" s="67">
      <c r="A23" s="74" t="inlineStr">
        <is>
          <t>D-18</t>
        </is>
      </c>
      <c r="B23" s="74" t="inlineStr">
        <is>
          <t>2026-10-25</t>
        </is>
      </c>
      <c r="C23" s="74" t="inlineStr">
        <is>
          <t>One star (or hole / planet) per cell; binary systems are stars in adjacent cells; items and ships share cells.</t>
        </is>
      </c>
      <c r="D23" s="74" t="inlineStr">
        <is>
          <t>Ans Q-06.</t>
        </is>
      </c>
      <c r="E23" s="74" t="inlineStr">
        <is>
          <t>WG-03, SP-02</t>
        </is>
      </c>
      <c r="F23" s="74" t="inlineStr">
        <is>
          <t>Agreed</t>
        </is>
      </c>
    </row>
    <row r="24" ht="23.85" customHeight="1" s="67">
      <c r="A24" s="74" t="inlineStr">
        <is>
          <t>D-19</t>
        </is>
      </c>
      <c r="B24" s="74" t="inlineStr">
        <is>
          <t>2026-10-25</t>
        </is>
      </c>
      <c r="C24" s="74" t="inlineStr">
        <is>
          <t>Items are picked up by choice: enter the cell, scan, then pick up. About 10 special and 100 normal items per galaxy.</t>
        </is>
      </c>
      <c r="D24" s="74" t="inlineStr">
        <is>
          <t>Ans Q-07.</t>
        </is>
      </c>
      <c r="E24" s="74" t="inlineStr">
        <is>
          <t>IT-04, SP-03</t>
        </is>
      </c>
      <c r="F24" s="74" t="inlineStr">
        <is>
          <t>Agreed</t>
        </is>
      </c>
    </row>
    <row r="25" ht="23.85" customHeight="1" s="67">
      <c r="A25" s="74" t="inlineStr">
        <is>
          <t>D-20</t>
        </is>
      </c>
      <c r="B25" s="74" t="inlineStr">
        <is>
          <t>2026-10-25</t>
        </is>
      </c>
      <c r="C25" s="74" t="inlineStr">
        <is>
          <t>The world is generated from a seed; wormhole pairs are fixed at seeding and may cross galaxies; ships survive the crossing.</t>
        </is>
      </c>
      <c r="D25" s="74" t="inlineStr">
        <is>
          <t>Ans Q-08, Q-11.</t>
        </is>
      </c>
      <c r="E25" s="74" t="inlineStr">
        <is>
          <t>SP-01, ST-04</t>
        </is>
      </c>
      <c r="F25" s="74" t="inlineStr">
        <is>
          <t>Agreed</t>
        </is>
      </c>
    </row>
    <row r="26" ht="15" customHeight="1" s="67">
      <c r="A26" s="74" t="inlineStr">
        <is>
          <t>D-21</t>
        </is>
      </c>
      <c r="B26" s="74" t="inlineStr">
        <is>
          <t>2026-10-25</t>
        </is>
      </c>
      <c r="C26" s="74" t="inlineStr">
        <is>
          <t>A neutron star behaves like a black hole with weaker pull.</t>
        </is>
      </c>
      <c r="D26" s="74" t="inlineStr">
        <is>
          <t>Ans Q-09.</t>
        </is>
      </c>
      <c r="E26" s="74" t="inlineStr">
        <is>
          <t>ST-02</t>
        </is>
      </c>
      <c r="F26" s="74" t="inlineStr">
        <is>
          <t>Agreed</t>
        </is>
      </c>
    </row>
    <row r="27" ht="15" customHeight="1" s="67">
      <c r="A27" s="74" t="inlineStr">
        <is>
          <t>D-22</t>
        </is>
      </c>
      <c r="B27" s="74" t="inlineStr">
        <is>
          <t>2026-10-25</t>
        </is>
      </c>
      <c r="C27" s="74" t="inlineStr">
        <is>
          <t>Energy = base_energy × volume (from radius); thresholds are config keys.</t>
        </is>
      </c>
      <c r="D27" s="74" t="inlineStr">
        <is>
          <t>Ans Q-10.</t>
        </is>
      </c>
      <c r="E27" s="74" t="inlineStr">
        <is>
          <t>DQ-01, DQ-02</t>
        </is>
      </c>
      <c r="F27" s="74" t="inlineStr">
        <is>
          <t>Agreed</t>
        </is>
      </c>
    </row>
    <row r="28" ht="23.85" customHeight="1" s="67">
      <c r="A28" s="74" t="inlineStr">
        <is>
          <t>D-23</t>
        </is>
      </c>
      <c r="B28" s="74" t="inlineStr">
        <is>
          <t>2026-10-25</t>
        </is>
      </c>
      <c r="C28" s="74" t="inlineStr">
        <is>
          <t>Fleets have no size limit; all ships in range fight under the same rules; strength counts the whole fleet (shields + weapons).</t>
        </is>
      </c>
      <c r="D28" s="74" t="inlineStr">
        <is>
          <t>Ans Q-13, Q-22.</t>
        </is>
      </c>
      <c r="E28" s="74" t="inlineStr">
        <is>
          <t>FL-05, CM-08</t>
        </is>
      </c>
      <c r="F28" s="74" t="inlineStr">
        <is>
          <t>Agreed</t>
        </is>
      </c>
    </row>
    <row r="29" ht="23.85" customHeight="1" s="67">
      <c r="A29" s="74" t="inlineStr">
        <is>
          <t>D-24</t>
        </is>
      </c>
      <c r="B29" s="74" t="inlineStr">
        <is>
          <t>2026-10-25</t>
        </is>
      </c>
      <c r="C29" s="74" t="inlineStr">
        <is>
          <t>1 gold = 20 silver; items are bought with coins; items belong to the captain.</t>
        </is>
      </c>
      <c r="D29" s="74" t="inlineStr">
        <is>
          <t>Ans Q-14.</t>
        </is>
      </c>
      <c r="E29" s="74" t="inlineStr">
        <is>
          <t>TR-01, CP-04</t>
        </is>
      </c>
      <c r="F29" s="74" t="inlineStr">
        <is>
          <t>Agreed</t>
        </is>
      </c>
    </row>
    <row r="30" ht="35.05" customHeight="1" s="67">
      <c r="A30" s="74" t="inlineStr">
        <is>
          <t>D-25</t>
        </is>
      </c>
      <c r="B30" s="74" t="inlineStr">
        <is>
          <t>2026-10-25</t>
        </is>
      </c>
      <c r="C30" s="74" t="inlineStr">
        <is>
          <t>Fear and respect are ints 0–100. Eligibility: both ≥ 90 plus a wealth threshold. The ultimate secret item is guarded by ships in a sector far from the captain.</t>
        </is>
      </c>
      <c r="D30" s="74" t="inlineStr">
        <is>
          <t>Ans Q-15.</t>
        </is>
      </c>
      <c r="E30" s="74" t="inlineStr">
        <is>
          <t>EG-01…06</t>
        </is>
      </c>
      <c r="F30" s="74" t="inlineStr">
        <is>
          <t>Agreed</t>
        </is>
      </c>
    </row>
    <row r="31" ht="15" customHeight="1" s="67">
      <c r="A31" s="74" t="inlineStr">
        <is>
          <t>D-26</t>
        </is>
      </c>
      <c r="B31" s="74" t="inlineStr">
        <is>
          <t>2026-10-25</t>
        </is>
      </c>
      <c r="C31" s="74" t="inlineStr">
        <is>
          <t>Grid auto-follows the active ship; 'view' overrides.</t>
        </is>
      </c>
      <c r="D31" s="74" t="inlineStr">
        <is>
          <t>Ans Q-17.</t>
        </is>
      </c>
      <c r="E31" s="74" t="inlineStr">
        <is>
          <t>GRD-02</t>
        </is>
      </c>
      <c r="F31" s="74" t="inlineStr">
        <is>
          <t>Agreed</t>
        </is>
      </c>
    </row>
    <row r="32" ht="15" customHeight="1" s="67">
      <c r="A32" s="74" t="inlineStr">
        <is>
          <t>D-27</t>
        </is>
      </c>
      <c r="B32" s="74" t="inlineStr">
        <is>
          <t>2026-10-25</t>
        </is>
      </c>
      <c r="C32" s="74" t="inlineStr">
        <is>
          <t>Separate engine process; ZeroMQ pub/sub on localhost.</t>
        </is>
      </c>
      <c r="D32" s="74" t="inlineStr">
        <is>
          <t>Ans Q-18.</t>
        </is>
      </c>
      <c r="E32" s="74" t="inlineStr">
        <is>
          <t>BUS-03</t>
        </is>
      </c>
      <c r="F32" s="74" t="inlineStr">
        <is>
          <t>Agreed</t>
        </is>
      </c>
    </row>
    <row r="33" ht="15" customHeight="1" s="67">
      <c r="A33" s="74" t="inlineStr">
        <is>
          <t>D-28</t>
        </is>
      </c>
      <c r="B33" s="74" t="inlineStr">
        <is>
          <t>2026-10-25</t>
        </is>
      </c>
      <c r="C33" s="74" t="inlineStr">
        <is>
          <t>Food and water are consumed −1 each per turn and bought from planets.</t>
        </is>
      </c>
      <c r="D33" s="74" t="inlineStr">
        <is>
          <t>Ans Q-19.</t>
        </is>
      </c>
      <c r="E33" s="74" t="inlineStr">
        <is>
          <t>IT-01</t>
        </is>
      </c>
      <c r="F33" s="74" t="inlineStr">
        <is>
          <t>Agreed</t>
        </is>
      </c>
    </row>
    <row r="34" ht="15" customHeight="1" s="67">
      <c r="A34" s="74" t="inlineStr">
        <is>
          <t>D-29</t>
        </is>
      </c>
      <c r="B34" s="74" t="inlineStr">
        <is>
          <t>2026-10-25</t>
        </is>
      </c>
      <c r="C34" s="74" t="inlineStr">
        <is>
          <t>Elements use real and mythical crystal / mineral names.</t>
        </is>
      </c>
      <c r="D34" s="74" t="inlineStr">
        <is>
          <t>Ans Q-20.</t>
        </is>
      </c>
      <c r="E34" s="74" t="inlineStr">
        <is>
          <t>EL-*</t>
        </is>
      </c>
      <c r="F34" s="74" t="inlineStr">
        <is>
          <t>Agreed</t>
        </is>
      </c>
    </row>
    <row r="35" ht="23.85" customHeight="1" s="67">
      <c r="A35" s="74" t="inlineStr">
        <is>
          <t>D-30</t>
        </is>
      </c>
      <c r="B35" s="74" t="inlineStr">
        <is>
          <t>2026-10-25</t>
        </is>
      </c>
      <c r="C35" s="74" t="inlineStr">
        <is>
          <t>Planets can attack and be attacked; a destroyed planet is fully looted; on peace a share goes to the side that did not sue for peace.</t>
        </is>
      </c>
      <c r="D35" s="74" t="inlineStr">
        <is>
          <t>Ans Q-21.</t>
        </is>
      </c>
      <c r="E35" s="74" t="inlineStr">
        <is>
          <t>PR-02, CB-03</t>
        </is>
      </c>
      <c r="F35" s="74" t="inlineStr">
        <is>
          <t>Agreed</t>
        </is>
      </c>
    </row>
    <row r="36" ht="15" customHeight="1" s="67">
      <c r="A36" s="74" t="inlineStr">
        <is>
          <t>D-31</t>
        </is>
      </c>
      <c r="B36" s="74" t="inlineStr">
        <is>
          <t>2026-10-25</t>
        </is>
      </c>
      <c r="C36" s="74" t="inlineStr">
        <is>
          <t>Respect penalties FR-05 and FR-06 both apply (stack).</t>
        </is>
      </c>
      <c r="D36" s="74" t="inlineStr">
        <is>
          <t>Ans Q-23.</t>
        </is>
      </c>
      <c r="E36" s="74" t="inlineStr">
        <is>
          <t>FR-09</t>
        </is>
      </c>
      <c r="F36" s="74" t="inlineStr">
        <is>
          <t>Agreed</t>
        </is>
      </c>
    </row>
    <row r="37" ht="15" customHeight="1" s="67">
      <c r="A37" s="74" t="inlineStr">
        <is>
          <t>D-32</t>
        </is>
      </c>
      <c r="B37" s="74" t="inlineStr">
        <is>
          <t>2026-10-25</t>
        </is>
      </c>
      <c r="C37" s="74" t="inlineStr">
        <is>
          <t>Four terminals: T1 Command, T2 Grid, T3 Output, T4 Status.</t>
        </is>
      </c>
      <c r="D37" s="74" t="inlineStr">
        <is>
          <t>Ans Q-25.</t>
        </is>
      </c>
      <c r="E37" s="74" t="inlineStr">
        <is>
          <t>T4</t>
        </is>
      </c>
      <c r="F37" s="74" t="inlineStr">
        <is>
          <t>Agreed</t>
        </is>
      </c>
    </row>
    <row r="38" ht="23.85" customHeight="1" s="67">
      <c r="A38" s="74" t="inlineStr">
        <is>
          <t>D-33</t>
        </is>
      </c>
      <c r="B38" s="74" t="inlineStr">
        <is>
          <t>2026-10-25</t>
        </is>
      </c>
      <c r="C38" s="74" t="inlineStr">
        <is>
          <t>'Starbour' is a pun on harbour / starship; the title Master of Starbour is won with the ultimate secret item.</t>
        </is>
      </c>
      <c r="D38" s="74" t="inlineStr">
        <is>
          <t>Ans Q-26.</t>
        </is>
      </c>
      <c r="E38" s="74" t="inlineStr">
        <is>
          <t>OV-13</t>
        </is>
      </c>
      <c r="F38" s="74" t="inlineStr">
        <is>
          <t>Agreed</t>
        </is>
      </c>
    </row>
    <row r="39" ht="23.85" customHeight="1" s="67">
      <c r="A39" s="74" t="inlineStr">
        <is>
          <t>D-34</t>
        </is>
      </c>
      <c r="B39" s="74" t="inlineStr">
        <is>
          <t>2026-10-25</t>
        </is>
      </c>
      <c r="C39" s="74" t="inlineStr">
        <is>
          <t>Packaging: PyInstaller one-folder, zipped, GitHub Releases, unsigned at first, config next to the exe.</t>
        </is>
      </c>
      <c r="D39" s="74" t="inlineStr">
        <is>
          <t>Ans Q-28.</t>
        </is>
      </c>
      <c r="E39" s="74" t="inlineStr">
        <is>
          <t>BR-14…20</t>
        </is>
      </c>
      <c r="F39" s="74" t="inlineStr">
        <is>
          <t>Agreed</t>
        </is>
      </c>
    </row>
    <row r="40" ht="15" customHeight="1" s="67">
      <c r="A40" s="74" t="inlineStr">
        <is>
          <t>D-35</t>
        </is>
      </c>
      <c r="B40" s="74" t="inlineStr">
        <is>
          <t>2026-10-25</t>
        </is>
      </c>
      <c r="C40" s="74" t="inlineStr">
        <is>
          <t>Game over only when the player's ship is destroyed.</t>
        </is>
      </c>
      <c r="D40" s="74" t="inlineStr">
        <is>
          <t>Ans Q-29.</t>
        </is>
      </c>
      <c r="E40" s="74" t="inlineStr">
        <is>
          <t>CB-04</t>
        </is>
      </c>
      <c r="F40" s="74" t="inlineStr">
        <is>
          <t>Agreed</t>
        </is>
      </c>
    </row>
    <row r="41" ht="15" customHeight="1" s="67">
      <c r="A41" s="74" t="inlineStr">
        <is>
          <t>D-36</t>
        </is>
      </c>
      <c r="B41" s="74" t="inlineStr">
        <is>
          <t>2026-10-25</t>
        </is>
      </c>
      <c r="C41" s="74" t="inlineStr">
        <is>
          <t>Fog of war is a config switch (on / off).</t>
        </is>
      </c>
      <c r="D41" s="74" t="inlineStr">
        <is>
          <t>Ans Q-30.</t>
        </is>
      </c>
      <c r="E41" s="74" t="inlineStr">
        <is>
          <t>GRD-04</t>
        </is>
      </c>
      <c r="F41" s="74" t="inlineStr">
        <is>
          <t>Agreed</t>
        </is>
      </c>
    </row>
    <row r="42" ht="15" customHeight="1" s="67">
      <c r="A42" s="74" t="inlineStr">
        <is>
          <t>D-37</t>
        </is>
      </c>
      <c r="B42" s="74" t="inlineStr">
        <is>
          <t>2026-10-25</t>
        </is>
      </c>
      <c r="C42" s="74" t="inlineStr">
        <is>
          <t>Terminals redraw once per resolved turn.</t>
        </is>
      </c>
      <c r="D42" s="74" t="inlineStr">
        <is>
          <t>Ans Q-31.</t>
        </is>
      </c>
      <c r="E42" s="74" t="inlineStr">
        <is>
          <t>BUS-05</t>
        </is>
      </c>
      <c r="F42" s="74" t="inlineStr">
        <is>
          <t>Agreed</t>
        </is>
      </c>
    </row>
    <row r="43" ht="23.85" customHeight="1" s="67">
      <c r="A43" s="74" t="inlineStr">
        <is>
          <t>D-38</t>
        </is>
      </c>
      <c r="B43" s="74" t="inlineStr">
        <is>
          <t>2026-10-25</t>
        </is>
      </c>
      <c r="C43" s="74" t="inlineStr">
        <is>
          <t>Launcher owns all processes; closing T1 or the launcher ends the game; closing another window reopens it.</t>
        </is>
      </c>
      <c r="D43" s="74" t="inlineStr">
        <is>
          <t>Ans Q-32.</t>
        </is>
      </c>
      <c r="E43" s="74" t="inlineStr">
        <is>
          <t>TL</t>
        </is>
      </c>
      <c r="F43" s="74" t="inlineStr">
        <is>
          <t>Agreed</t>
        </is>
      </c>
    </row>
    <row r="44" ht="23.85" customHeight="1" s="67">
      <c r="A44" s="74" t="inlineStr">
        <is>
          <t>D-39</t>
        </is>
      </c>
      <c r="B44" s="74" t="inlineStr">
        <is>
          <t>2026-10-25</t>
        </is>
      </c>
      <c r="C44" s="74" t="inlineStr">
        <is>
          <t>Autosave every turn, one slot per game, save deleted on game over; new game = new seed.</t>
        </is>
      </c>
      <c r="D44" s="74" t="inlineStr">
        <is>
          <t>Ans Q-33.</t>
        </is>
      </c>
      <c r="E44" s="74" t="inlineStr">
        <is>
          <t>OV-12</t>
        </is>
      </c>
      <c r="F44" s="74" t="inlineStr">
        <is>
          <t>Agreed</t>
        </is>
      </c>
    </row>
    <row r="45" ht="23.85" customHeight="1" s="67">
      <c r="A45" s="74" t="inlineStr">
        <is>
          <t>D-40</t>
        </is>
      </c>
      <c r="B45" s="74" t="inlineStr">
        <is>
          <t>2026-10-25</t>
        </is>
      </c>
      <c r="C45" s="74" t="inlineStr">
        <is>
          <t>Errors inline on T1 and echoed to T3; confirmations for starting a fight and quitting.</t>
        </is>
      </c>
      <c r="D45" s="74" t="inlineStr">
        <is>
          <t>Ans Q-34.</t>
        </is>
      </c>
      <c r="E45" s="74" t="inlineStr">
        <is>
          <t>UX-03/04</t>
        </is>
      </c>
      <c r="F45" s="74" t="inlineStr">
        <is>
          <t>Agreed</t>
        </is>
      </c>
    </row>
    <row r="46" ht="15" customHeight="1" s="67">
      <c r="A46" s="74" t="inlineStr">
        <is>
          <t>D-41</t>
        </is>
      </c>
      <c r="B46" s="74" t="inlineStr">
        <is>
          <t>2026-10-25</t>
        </is>
      </c>
      <c r="C46" s="74" t="inlineStr">
        <is>
          <t>Pacing target: a battle every 5–7 turns; mastery after ~70–100 turns.</t>
        </is>
      </c>
      <c r="D46" s="74" t="inlineStr">
        <is>
          <t>Ans Q-35.</t>
        </is>
      </c>
      <c r="E46" s="74" t="inlineStr">
        <is>
          <t>OV-11</t>
        </is>
      </c>
      <c r="F46" s="74" t="inlineStr">
        <is>
          <t>Agreed</t>
        </is>
      </c>
    </row>
    <row r="47" ht="23.85" customHeight="1" s="67">
      <c r="A47" s="74" t="inlineStr">
        <is>
          <t>D-42</t>
        </is>
      </c>
      <c r="B47" s="74" t="inlineStr">
        <is>
          <t>2026-10-25</t>
        </is>
      </c>
      <c r="C47" s="74" t="inlineStr">
        <is>
          <t>No extra fear / respect events, no decay; levels visible for captains in the same sector.</t>
        </is>
      </c>
      <c r="D47" s="74" t="inlineStr">
        <is>
          <t>Ans Q-36.</t>
        </is>
      </c>
      <c r="E47" s="74" t="inlineStr">
        <is>
          <t>FR-10</t>
        </is>
      </c>
      <c r="F47" s="74" t="inlineStr">
        <is>
          <t>Agreed</t>
        </is>
      </c>
    </row>
    <row r="48" ht="23.85" customHeight="1" s="67">
      <c r="A48" s="74" t="inlineStr">
        <is>
          <t>D-43</t>
        </is>
      </c>
      <c r="B48" s="74" t="inlineStr">
        <is>
          <t>2026-10-25</t>
        </is>
      </c>
      <c r="C48" s="74" t="inlineStr">
        <is>
          <t>Mastery ceremony: fireworks and big ASCII-art title; afterwards nothing changes except maxed levels and universal compliance.</t>
        </is>
      </c>
      <c r="D48" s="74" t="inlineStr">
        <is>
          <t>Ans Q-37.</t>
        </is>
      </c>
      <c r="E48" s="74" t="inlineStr">
        <is>
          <t>OUT-15, EF-06</t>
        </is>
      </c>
      <c r="F48" s="74" t="inlineStr">
        <is>
          <t>Agreed</t>
        </is>
      </c>
    </row>
    <row r="49" ht="23.85" customHeight="1" s="67">
      <c r="A49" s="74" t="inlineStr">
        <is>
          <t>D-44</t>
        </is>
      </c>
      <c r="B49" s="74" t="inlineStr">
        <is>
          <t>2026-10-25</t>
        </is>
      </c>
      <c r="C49" s="74" t="inlineStr">
        <is>
          <t>Fractional impulse speed is floored: engine 2.5 moves 2 cells; the fraction only matters against gravity pull.</t>
        </is>
      </c>
      <c r="D49" s="74" t="inlineStr">
        <is>
          <t>Chat A9.</t>
        </is>
      </c>
      <c r="E49" s="74" t="inlineStr">
        <is>
          <t>MV-01</t>
        </is>
      </c>
      <c r="F49" s="74" t="inlineStr">
        <is>
          <t>Agreed</t>
        </is>
      </c>
    </row>
    <row r="50" ht="23.85" customHeight="1" s="67">
      <c r="A50" s="74" t="inlineStr">
        <is>
          <t>D-45</t>
        </is>
      </c>
      <c r="B50" s="74" t="inlineStr">
        <is>
          <t>2026-10-25</t>
        </is>
      </c>
      <c r="C50" s="74" t="inlineStr">
        <is>
          <t>Game over when the player's active ship is destroyed; other owned ships do not save the run.</t>
        </is>
      </c>
      <c r="D50" s="74" t="inlineStr">
        <is>
          <t>Chat A10.</t>
        </is>
      </c>
      <c r="E50" s="74" t="inlineStr">
        <is>
          <t>OV-09b, FL-04</t>
        </is>
      </c>
      <c r="F50" s="74" t="inlineStr">
        <is>
          <t>Agreed</t>
        </is>
      </c>
    </row>
    <row r="51" ht="23.85" customHeight="1" s="67">
      <c r="A51" s="74" t="inlineStr">
        <is>
          <t>D-46</t>
        </is>
      </c>
      <c r="B51" s="74" t="inlineStr">
        <is>
          <t>2026-10-25</t>
        </is>
      </c>
      <c r="C51" s="74" t="inlineStr">
        <is>
          <t>On peace, the victor is the side that did not offer it; X = victor's shield advantage as a fraction × peace_loot_max, floored at 0.</t>
        </is>
      </c>
      <c r="D51" s="74" t="inlineStr">
        <is>
          <t>Chat A12; resolves BP r108 vs Ans Q-21.</t>
        </is>
      </c>
      <c r="E51" s="74" t="inlineStr">
        <is>
          <t>CB-03</t>
        </is>
      </c>
      <c r="F51" s="74" t="inlineStr">
        <is>
          <t>Agreed</t>
        </is>
      </c>
    </row>
    <row r="52" ht="23.85" customHeight="1" s="67">
      <c r="A52" s="74" t="inlineStr">
        <is>
          <t>D-47</t>
        </is>
      </c>
      <c r="B52" s="74" t="inlineStr">
        <is>
          <t>2026-10-25</t>
        </is>
      </c>
      <c r="C52" s="74" t="inlineStr">
        <is>
          <t>At zero food or water the crew mutiny and the captain is demoted to a low-class ship. It is not game over.</t>
        </is>
      </c>
      <c r="D52" s="74" t="inlineStr">
        <is>
          <t>Chat A11.</t>
        </is>
      </c>
      <c r="E52" s="74" t="inlineStr">
        <is>
          <t>SUP-03</t>
        </is>
      </c>
      <c r="F52" s="74" t="inlineStr">
        <is>
          <t>Agreed</t>
        </is>
      </c>
    </row>
    <row r="53" ht="23.85" customHeight="1" s="67">
      <c r="A53" s="74" t="inlineStr">
        <is>
          <t>D-48</t>
        </is>
      </c>
      <c r="B53" s="74" t="inlineStr">
        <is>
          <t>2026-10-25</t>
        </is>
      </c>
      <c r="C53" s="74" t="inlineStr">
        <is>
          <t>Fear acts on ships (AI captains yield); respect acts on planets (they comply).</t>
        </is>
      </c>
      <c r="D53" s="74" t="inlineStr">
        <is>
          <t>Chat A13.</t>
        </is>
      </c>
      <c r="E53" s="74" t="inlineStr">
        <is>
          <t>EF-00</t>
        </is>
      </c>
      <c r="F53" s="74" t="inlineStr">
        <is>
          <t>Agreed</t>
        </is>
      </c>
    </row>
    <row r="54" ht="23.85" customHeight="1" s="67">
      <c r="A54" s="74" t="inlineStr">
        <is>
          <t>D-49</t>
        </is>
      </c>
      <c r="B54" s="74" t="inlineStr">
        <is>
          <t>2026-10-25</t>
        </is>
      </c>
      <c r="C54" s="74" t="inlineStr">
        <is>
          <t>No fixed turn counts for pacing or thresholds; every number is a placeholder tuned by playtest.</t>
        </is>
      </c>
      <c r="D54" s="74" t="inlineStr">
        <is>
          <t>Chat A15, A16.</t>
        </is>
      </c>
      <c r="E54" s="74" t="inlineStr">
        <is>
          <t>OV-11, LV-05</t>
        </is>
      </c>
      <c r="F54" s="74" t="inlineStr">
        <is>
          <t>Agreed</t>
        </is>
      </c>
    </row>
    <row r="55" ht="15" customHeight="1" s="67">
      <c r="A55" s="74" t="inlineStr">
        <is>
          <t>D-50</t>
        </is>
      </c>
      <c r="B55" s="74" t="inlineStr">
        <is>
          <t>2026-10-25</t>
        </is>
      </c>
      <c r="C55" s="74" t="inlineStr">
        <is>
          <t>Licence: MIT. Chosen by Claude at Usman's request.</t>
        </is>
      </c>
      <c r="D55" s="74" t="inlineStr">
        <is>
          <t>Chat A14, A20.</t>
        </is>
      </c>
      <c r="E55" s="74" t="inlineStr">
        <is>
          <t>BR-04, KIT-10</t>
        </is>
      </c>
      <c r="F55" s="74" t="inlineStr">
        <is>
          <t>Agreed</t>
        </is>
      </c>
    </row>
    <row r="56" ht="23.85" customHeight="1" s="67">
      <c r="A56" s="74" t="inlineStr">
        <is>
          <t>D-51</t>
        </is>
      </c>
      <c r="B56" s="74" t="inlineStr">
        <is>
          <t>2026-10-25</t>
        </is>
      </c>
      <c r="C56" s="74" t="inlineStr">
        <is>
          <t>On a mutiny the captain moves to another owned ship if there is one; only if none is available is the captain demoted to a low-class ship.</t>
        </is>
      </c>
      <c r="D56" s="74" t="inlineStr">
        <is>
          <t>Chat A19.</t>
        </is>
      </c>
      <c r="E56" s="74" t="inlineStr">
        <is>
          <t>SUP-04, SUP-04b</t>
        </is>
      </c>
      <c r="F56" s="74" t="inlineStr">
        <is>
          <t>Agreed</t>
        </is>
      </c>
    </row>
    <row r="57" ht="15" customHeight="1" s="67">
      <c r="A57" s="74" t="inlineStr">
        <is>
          <t>D-52</t>
        </is>
      </c>
      <c r="B57" s="74" t="inlineStr">
        <is>
          <t>2026-10-25</t>
        </is>
      </c>
      <c r="C57" s="74" t="inlineStr">
        <is>
          <t>Mutineers keep the taken ship and become a new AI captain.</t>
        </is>
      </c>
      <c r="D57" s="74" t="inlineStr">
        <is>
          <t>Chat A18.</t>
        </is>
      </c>
      <c r="E57" s="74" t="inlineStr">
        <is>
          <t>SUP-04c</t>
        </is>
      </c>
      <c r="F57" s="74" t="inlineStr">
        <is>
          <t>Agreed</t>
        </is>
      </c>
    </row>
    <row r="58" ht="46.25" customHeight="1" s="67">
      <c r="A58" s="74" t="inlineStr">
        <is>
          <t>D-53</t>
        </is>
      </c>
      <c r="B58" s="74" t="inlineStr">
        <is>
          <t>2026-10-25</t>
        </is>
      </c>
      <c r="C58" s="74" t="inlineStr">
        <is>
          <t>The upgrade map, the price list and the element catalogue are configuration read from controls_config.ini ([upgrades], [prices], [elements]); values are Claude's placeholders, changeable outside the game.</t>
        </is>
      </c>
      <c r="D58" s="74" t="inlineStr">
        <is>
          <t>Chat A17.</t>
        </is>
      </c>
      <c r="E58" s="74" t="inlineStr">
        <is>
          <t>TR-05, UP-*, PRC-*, EL-*</t>
        </is>
      </c>
      <c r="F58" s="74" t="inlineStr">
        <is>
          <t>Agreed</t>
        </is>
      </c>
    </row>
    <row r="59" ht="46.25" customHeight="1" s="67">
      <c r="A59" s="109" t="inlineStr">
        <is>
          <t>D-98</t>
        </is>
      </c>
      <c r="B59" s="109" t="inlineStr">
        <is>
          <t>2026-10-25</t>
        </is>
      </c>
      <c r="C59" s="109" t="inlineStr">
        <is>
          <t>A move whose target is beyond this turn's reach persists across turns until the ship arrives, a new move replaces it, or 'stop' cancels it. 'stop [all]' is a new immediate command (CMD-21). Supersedes the clip rule in kit decision D-73 (docs/DECISIONS.md).</t>
        </is>
      </c>
      <c r="D59" s="109" t="inlineStr">
        <is>
          <t>Chat A22, after playing M1.</t>
        </is>
      </c>
      <c r="E59" s="109" t="inlineStr">
        <is>
          <t>CMD-06, CMD-21, OV-02b, MV-01</t>
        </is>
      </c>
      <c r="F59" s="109" t="inlineStr">
        <is>
          <t>Agreed</t>
        </is>
      </c>
    </row>
    <row r="60" ht="46.25" customHeight="1" s="67">
      <c r="A60" s="109" t="inlineStr">
        <is>
          <t>D-99</t>
        </is>
      </c>
      <c r="B60" s="109" t="inlineStr">
        <is>
          <t>2026-10-25</t>
        </is>
      </c>
      <c r="C60" s="109" t="inlineStr">
        <is>
          <t>T4 shows the active ship's queued orders themselves (PNL-07), not only a count.</t>
        </is>
      </c>
      <c r="D60" s="109" t="inlineStr">
        <is>
          <t>Chat A21, after playing M1.</t>
        </is>
      </c>
      <c r="E60" s="109" t="inlineStr">
        <is>
          <t>PNL-05, PNL-07</t>
        </is>
      </c>
      <c r="F60" s="109" t="inlineStr">
        <is>
          <t>Agreed</t>
        </is>
      </c>
    </row>
    <row r="61" ht="15" customHeight="1" s="67">
      <c r="A61" s="74" t="n"/>
      <c r="B61" s="74" t="n"/>
      <c r="C61" s="74" t="n"/>
      <c r="D61" s="74" t="n"/>
      <c r="E61" s="74" t="n"/>
      <c r="F61" s="74" t="n"/>
    </row>
    <row r="62" ht="15" customHeight="1" s="67">
      <c r="A62" s="74" t="n"/>
      <c r="B62" s="74" t="n"/>
      <c r="C62" s="74" t="n"/>
      <c r="D62" s="74" t="n"/>
      <c r="E62" s="74" t="n"/>
      <c r="F62" s="74" t="n"/>
    </row>
    <row r="63" ht="15" customHeight="1" s="67">
      <c r="A63" s="74" t="n"/>
      <c r="B63" s="74" t="n"/>
      <c r="C63" s="74" t="n"/>
      <c r="D63" s="74" t="n"/>
      <c r="E63" s="74" t="n"/>
      <c r="F63" s="74" t="n"/>
    </row>
    <row r="64" ht="15" customHeight="1" s="67">
      <c r="A64" s="74" t="n"/>
      <c r="B64" s="74" t="n"/>
      <c r="C64" s="74" t="n"/>
      <c r="D64" s="74" t="n"/>
      <c r="E64" s="74" t="n"/>
      <c r="F64" s="74" t="n"/>
    </row>
  </sheetData>
  <autoFilter ref="A5:F64"/>
  <conditionalFormatting sqref="F6:F64">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dataValidations count="1">
    <dataValidation sqref="F6:F64"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262626"/>
    <outlinePr summaryBelow="1" summaryRight="1"/>
    <pageSetUpPr fitToPage="1"/>
  </sheetPr>
  <dimension ref="A1:G55"/>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26" customWidth="1" style="66" min="2" max="2"/>
    <col width="52" customWidth="1" style="66" min="3" max="3"/>
    <col width="40" customWidth="1" style="66" min="4" max="4"/>
    <col width="10" customWidth="1" style="66" min="5" max="5"/>
    <col width="14" customWidth="1" style="66" min="6" max="6"/>
    <col width="13" customWidth="1" style="66" min="7" max="7"/>
  </cols>
  <sheetData>
    <row r="1" ht="17.35" customHeight="1" s="67">
      <c r="A1" s="68" t="inlineStr">
        <is>
          <t>18 · Build &amp; release</t>
        </is>
      </c>
    </row>
    <row r="2" ht="15" customHeight="1" s="67">
      <c r="A2" s="69" t="inlineStr">
        <is>
          <t>Project identity, dev environment, packaging and distribution, build-kit files</t>
        </is>
      </c>
    </row>
    <row r="3" ht="15" customHeight="1" s="67">
      <c r="A3" s="70">
        <f>HYPERLINK("#'0 Index'!A1","↩ Index")</f>
        <v/>
      </c>
    </row>
    <row r="5" ht="15" customHeight="1" s="67">
      <c r="A5" s="127" t="inlineStr">
        <is>
          <t>Project identity</t>
        </is>
      </c>
    </row>
    <row r="6" ht="15" customHeight="1" s="67">
      <c r="A6" s="128" t="inlineStr">
        <is>
          <t>ID</t>
        </is>
      </c>
      <c r="B6" s="128" t="inlineStr">
        <is>
          <t>Item</t>
        </is>
      </c>
      <c r="C6" s="128" t="inlineStr">
        <is>
          <t>Value / current thinking</t>
        </is>
      </c>
      <c r="D6" s="128" t="inlineStr">
        <is>
          <t>Notes</t>
        </is>
      </c>
      <c r="E6" s="128" t="inlineStr">
        <is>
          <t>Open Q</t>
        </is>
      </c>
      <c r="F6" s="128" t="inlineStr">
        <is>
          <t>Origin</t>
        </is>
      </c>
      <c r="G6" s="128" t="inlineStr">
        <is>
          <t>Status</t>
        </is>
      </c>
    </row>
    <row r="7" ht="15" customHeight="1" s="67">
      <c r="A7" s="74" t="inlineStr">
        <is>
          <t>BR-01</t>
        </is>
      </c>
      <c r="B7" s="74" t="inlineStr">
        <is>
          <t>Game name</t>
        </is>
      </c>
      <c r="C7" s="74" t="inlineStr">
        <is>
          <t>Master of Starbour</t>
        </is>
      </c>
      <c r="D7" s="74" t="n"/>
      <c r="E7" s="74" t="inlineStr">
        <is>
          <t>Q-26</t>
        </is>
      </c>
      <c r="F7" s="74" t="inlineStr">
        <is>
          <t>Chat A1</t>
        </is>
      </c>
      <c r="G7" s="74" t="inlineStr">
        <is>
          <t>Agreed</t>
        </is>
      </c>
    </row>
    <row r="8" ht="23.85" customHeight="1" s="67">
      <c r="A8" s="74" t="inlineStr">
        <is>
          <t>BR-02</t>
        </is>
      </c>
      <c r="B8" s="74" t="inlineStr">
        <is>
          <t>Repository</t>
        </is>
      </c>
      <c r="C8" s="74" t="inlineStr">
        <is>
          <t>git@github.com:selphaware/master-of-starbour.git</t>
        </is>
      </c>
      <c r="D8" s="74" t="inlineStr">
        <is>
          <t>Public. HTTPS for the README: https://github.com/selphaware/master-of-starbour</t>
        </is>
      </c>
      <c r="E8" s="74" t="n"/>
      <c r="F8" s="74" t="inlineStr">
        <is>
          <t>Chat A2, A7</t>
        </is>
      </c>
      <c r="G8" s="74" t="inlineStr">
        <is>
          <t>Agreed</t>
        </is>
      </c>
    </row>
    <row r="9" ht="15" customHeight="1" s="67">
      <c r="A9" s="74" t="inlineStr">
        <is>
          <t>BR-03</t>
        </is>
      </c>
      <c r="B9" s="74" t="inlineStr">
        <is>
          <t>Repo contents</t>
        </is>
      </c>
      <c r="C9" s="74" t="inlineStr">
        <is>
          <t>Public. Source code and the installable package.</t>
        </is>
      </c>
      <c r="D9" s="74" t="n"/>
      <c r="E9" s="74" t="n"/>
      <c r="F9" s="74" t="inlineStr">
        <is>
          <t>Chat A3</t>
        </is>
      </c>
      <c r="G9" s="74" t="inlineStr">
        <is>
          <t>Agreed</t>
        </is>
      </c>
    </row>
    <row r="10" ht="35.05" customHeight="1" s="67">
      <c r="A10" s="74" t="inlineStr">
        <is>
          <t>BR-04</t>
        </is>
      </c>
      <c r="B10" s="74" t="inlineStr">
        <is>
          <t>Licence</t>
        </is>
      </c>
      <c r="C10" s="74" t="inlineStr">
        <is>
          <t>MIT. Chosen by Claude at your request: anyone may use, modify, redistribute and sell, with attribution and no warranty. LICENSE file at the repo root, copyright holder Usman Ahmad.</t>
        </is>
      </c>
      <c r="D10" s="74" t="inlineStr">
        <is>
          <t>Not legal advice.</t>
        </is>
      </c>
      <c r="E10" s="74" t="inlineStr">
        <is>
          <t>Q-27</t>
        </is>
      </c>
      <c r="F10" s="74" t="inlineStr">
        <is>
          <t>Chat A14, A20; Claude</t>
        </is>
      </c>
      <c r="G10" s="74" t="inlineStr">
        <is>
          <t>Agreed</t>
        </is>
      </c>
    </row>
    <row r="11" ht="15" customHeight="1" s="67">
      <c r="A11" s="74" t="inlineStr">
        <is>
          <t>BR-05</t>
        </is>
      </c>
      <c r="B11" s="74" t="inlineStr">
        <is>
          <t>Package / import name</t>
        </is>
      </c>
      <c r="C11" s="74" t="inlineStr">
        <is>
          <t>mos</t>
        </is>
      </c>
      <c r="D11" s="74" t="inlineStr">
        <is>
          <t>Short; matches the venv name.</t>
        </is>
      </c>
      <c r="E11" s="74" t="n"/>
      <c r="F11" s="74" t="inlineStr">
        <is>
          <t>Claude</t>
        </is>
      </c>
      <c r="G11" s="74" t="inlineStr">
        <is>
          <t>Proposed</t>
        </is>
      </c>
    </row>
    <row r="12" ht="23.85" customHeight="1" s="67">
      <c r="A12" s="74" t="inlineStr">
        <is>
          <t>BR-23</t>
        </is>
      </c>
      <c r="B12" s="74" t="inlineStr">
        <is>
          <t>Git access</t>
        </is>
      </c>
      <c r="C12" s="74" t="inlineStr">
        <is>
          <t>SSH for all git operations; scripts and CLAUDE.md use the SSH remote.</t>
        </is>
      </c>
      <c r="D12" s="74" t="n"/>
      <c r="E12" s="74" t="n"/>
      <c r="F12" s="74" t="inlineStr">
        <is>
          <t>Chat A7</t>
        </is>
      </c>
      <c r="G12" s="74" t="inlineStr">
        <is>
          <t>Agreed</t>
        </is>
      </c>
    </row>
    <row r="13" ht="15" customHeight="1" s="67">
      <c r="A13" s="74" t="n"/>
      <c r="B13" s="74" t="n"/>
      <c r="C13" s="74" t="n"/>
      <c r="D13" s="74" t="n"/>
      <c r="E13" s="74" t="n"/>
      <c r="F13" s="74" t="n"/>
      <c r="G13" s="74" t="n"/>
    </row>
    <row r="15" ht="15" customHeight="1" s="67">
      <c r="A15" s="127" t="inlineStr">
        <is>
          <t>Development environment</t>
        </is>
      </c>
    </row>
    <row r="16" ht="15" customHeight="1" s="67">
      <c r="A16" s="128" t="inlineStr">
        <is>
          <t>ID</t>
        </is>
      </c>
      <c r="B16" s="128" t="inlineStr">
        <is>
          <t>Item</t>
        </is>
      </c>
      <c r="C16" s="128" t="inlineStr">
        <is>
          <t>Value / current thinking</t>
        </is>
      </c>
      <c r="D16" s="128" t="inlineStr">
        <is>
          <t>Notes</t>
        </is>
      </c>
      <c r="E16" s="128" t="inlineStr">
        <is>
          <t>Open Q</t>
        </is>
      </c>
      <c r="F16" s="128" t="inlineStr">
        <is>
          <t>Origin</t>
        </is>
      </c>
      <c r="G16" s="128" t="inlineStr">
        <is>
          <t>Status</t>
        </is>
      </c>
    </row>
    <row r="17" ht="15" customHeight="1" s="67">
      <c r="A17" s="74" t="inlineStr">
        <is>
          <t>BR-06</t>
        </is>
      </c>
      <c r="B17" s="74" t="inlineStr">
        <is>
          <t>Project root</t>
        </is>
      </c>
      <c r="C17" s="74" t="inlineStr">
        <is>
          <t>E:\CODE\master-of-starbour</t>
        </is>
      </c>
      <c r="D17" s="74" t="inlineStr">
        <is>
          <t>Confirmed.</t>
        </is>
      </c>
      <c r="E17" s="74" t="n"/>
      <c r="F17" s="74" t="inlineStr">
        <is>
          <t>Chat A6</t>
        </is>
      </c>
      <c r="G17" s="74" t="inlineStr">
        <is>
          <t>Agreed</t>
        </is>
      </c>
    </row>
    <row r="18" ht="15" customHeight="1" s="67">
      <c r="A18" s="74" t="inlineStr">
        <is>
          <t>BR-07</t>
        </is>
      </c>
      <c r="B18" s="74" t="inlineStr">
        <is>
          <t>Virtual environment</t>
        </is>
      </c>
      <c r="C18" s="74" t="inlineStr">
        <is>
          <t>MOS — E:\CODE\master-of-starbour\MOS</t>
        </is>
      </c>
      <c r="D18" s="74" t="n"/>
      <c r="E18" s="74" t="n"/>
      <c r="F18" s="74" t="inlineStr">
        <is>
          <t>Chat A5</t>
        </is>
      </c>
      <c r="G18" s="74" t="inlineStr">
        <is>
          <t>Agreed</t>
        </is>
      </c>
    </row>
    <row r="19" ht="15" customHeight="1" s="67">
      <c r="A19" s="74" t="inlineStr">
        <is>
          <t>BR-08</t>
        </is>
      </c>
      <c r="B19" s="74" t="inlineStr">
        <is>
          <t>Python executable</t>
        </is>
      </c>
      <c r="C19" s="74" t="inlineStr">
        <is>
          <t>E:\CODE\master-of-starbour\MOS\Scripts\python.exe</t>
        </is>
      </c>
      <c r="D19" s="74" t="n"/>
      <c r="E19" s="74" t="n"/>
      <c r="F19" s="74" t="inlineStr">
        <is>
          <t>Chat A5</t>
        </is>
      </c>
      <c r="G19" s="74" t="inlineStr">
        <is>
          <t>Agreed</t>
        </is>
      </c>
    </row>
    <row r="20" ht="15" customHeight="1" s="67">
      <c r="A20" s="74" t="inlineStr">
        <is>
          <t>BR-09</t>
        </is>
      </c>
      <c r="B20" s="74" t="inlineStr">
        <is>
          <t>Python version</t>
        </is>
      </c>
      <c r="C20" s="74" t="inlineStr">
        <is>
          <t>3.12</t>
        </is>
      </c>
      <c r="D20" s="74" t="n"/>
      <c r="E20" s="74" t="n"/>
      <c r="F20" s="74" t="inlineStr">
        <is>
          <t>Project</t>
        </is>
      </c>
      <c r="G20" s="74" t="inlineStr">
        <is>
          <t>Agreed</t>
        </is>
      </c>
    </row>
    <row r="21" ht="23.85" customHeight="1" s="67">
      <c r="A21" s="74" t="inlineStr">
        <is>
          <t>BR-10</t>
        </is>
      </c>
      <c r="B21" s="74" t="inlineStr">
        <is>
          <t>Dependencies</t>
        </is>
      </c>
      <c r="C21" s="74" t="inlineStr">
        <is>
          <t>rich, prompt_toolkit, pyzmq, pytest, pyinstaller (pyproject.toml).</t>
        </is>
      </c>
      <c r="D21" s="74" t="n"/>
      <c r="E21" s="74" t="inlineStr">
        <is>
          <t>Q-18</t>
        </is>
      </c>
      <c r="F21" s="74" t="inlineStr">
        <is>
          <t>Ans Q-18; Claude</t>
        </is>
      </c>
      <c r="G21" s="74" t="inlineStr">
        <is>
          <t>Proposed</t>
        </is>
      </c>
    </row>
    <row r="22" ht="15" customHeight="1" s="67">
      <c r="A22" s="74" t="inlineStr">
        <is>
          <t>BR-11</t>
        </is>
      </c>
      <c r="B22" s="74" t="inlineStr">
        <is>
          <t>Test runner</t>
        </is>
      </c>
      <c r="C22" s="74" t="inlineStr">
        <is>
          <t>pytest</t>
        </is>
      </c>
      <c r="D22" s="74" t="n"/>
      <c r="E22" s="74" t="n"/>
      <c r="F22" s="74" t="inlineStr">
        <is>
          <t>Project</t>
        </is>
      </c>
      <c r="G22" s="74" t="inlineStr">
        <is>
          <t>Agreed</t>
        </is>
      </c>
    </row>
    <row r="23" ht="15" customHeight="1" s="67">
      <c r="A23" s="74" t="inlineStr">
        <is>
          <t>BR-12</t>
        </is>
      </c>
      <c r="B23" s="74" t="inlineStr">
        <is>
          <t>Build machine</t>
        </is>
      </c>
      <c r="C23" s="74" t="inlineStr">
        <is>
          <t>Your Windows workstation (option A); CI later if wanted.</t>
        </is>
      </c>
      <c r="D23" s="74" t="n"/>
      <c r="E23" s="74" t="inlineStr">
        <is>
          <t>Q-28</t>
        </is>
      </c>
      <c r="F23" s="74" t="inlineStr">
        <is>
          <t>Ans Q-28</t>
        </is>
      </c>
      <c r="G23" s="74" t="inlineStr">
        <is>
          <t>Agreed</t>
        </is>
      </c>
    </row>
    <row r="24" ht="15" customHeight="1" s="67">
      <c r="A24" s="74" t="n"/>
      <c r="B24" s="74" t="n"/>
      <c r="C24" s="74" t="n"/>
      <c r="D24" s="74" t="n"/>
      <c r="E24" s="74" t="n"/>
      <c r="F24" s="74" t="n"/>
      <c r="G24" s="74" t="n"/>
    </row>
    <row r="26" ht="15" customHeight="1" s="67">
      <c r="A26" s="127" t="inlineStr">
        <is>
          <t>Packaging &amp; distribution</t>
        </is>
      </c>
    </row>
    <row r="27" ht="15" customHeight="1" s="67">
      <c r="A27" s="128" t="inlineStr">
        <is>
          <t>ID</t>
        </is>
      </c>
      <c r="B27" s="128" t="inlineStr">
        <is>
          <t>Item</t>
        </is>
      </c>
      <c r="C27" s="128" t="inlineStr">
        <is>
          <t>Value / current thinking</t>
        </is>
      </c>
      <c r="D27" s="128" t="inlineStr">
        <is>
          <t>Notes</t>
        </is>
      </c>
      <c r="E27" s="128" t="inlineStr">
        <is>
          <t>Open Q</t>
        </is>
      </c>
      <c r="F27" s="128" t="inlineStr">
        <is>
          <t>Origin</t>
        </is>
      </c>
      <c r="G27" s="128" t="inlineStr">
        <is>
          <t>Status</t>
        </is>
      </c>
    </row>
    <row r="28" ht="15" customHeight="1" s="67">
      <c r="A28" s="74" t="inlineStr">
        <is>
          <t>BR-13</t>
        </is>
      </c>
      <c r="B28" s="74" t="inlineStr">
        <is>
          <t>Target</t>
        </is>
      </c>
      <c r="C28" s="74" t="inlineStr">
        <is>
          <t>Downloadable executable package for Windows 10/11.</t>
        </is>
      </c>
      <c r="D28" s="74" t="n"/>
      <c r="E28" s="74" t="n"/>
      <c r="F28" s="74" t="inlineStr">
        <is>
          <t>Chat A3; Project</t>
        </is>
      </c>
      <c r="G28" s="74" t="inlineStr">
        <is>
          <t>Agreed</t>
        </is>
      </c>
    </row>
    <row r="29" ht="15" customHeight="1" s="67">
      <c r="A29" s="74" t="inlineStr">
        <is>
          <t>BR-14</t>
        </is>
      </c>
      <c r="B29" s="74" t="inlineStr">
        <is>
          <t>Packaging tool</t>
        </is>
      </c>
      <c r="C29" s="74" t="inlineStr">
        <is>
          <t>PyInstaller, one-folder build.</t>
        </is>
      </c>
      <c r="D29" s="74" t="n"/>
      <c r="E29" s="74" t="inlineStr">
        <is>
          <t>Q-28</t>
        </is>
      </c>
      <c r="F29" s="74" t="inlineStr">
        <is>
          <t>Ans Q-28</t>
        </is>
      </c>
      <c r="G29" s="74" t="inlineStr">
        <is>
          <t>Agreed</t>
        </is>
      </c>
    </row>
    <row r="30" ht="35.05" customHeight="1" s="67">
      <c r="A30" s="74" t="inlineStr">
        <is>
          <t>BR-15</t>
        </is>
      </c>
      <c r="B30" s="74" t="inlineStr">
        <is>
          <t>Multi-process launch</t>
        </is>
      </c>
      <c r="C30" s="74" t="inlineStr">
        <is>
          <t>mos.exe (launcher) spawns engine + four terminals as new console windows, each 'mos.exe --role &lt;engine|command|grid|output|status&gt;'.</t>
        </is>
      </c>
      <c r="D30" s="74" t="inlineStr">
        <is>
          <t>Build gates: 'exe opens and exits', 'orphaned processes'.</t>
        </is>
      </c>
      <c r="E30" s="74" t="inlineStr">
        <is>
          <t>Q-32</t>
        </is>
      </c>
      <c r="F30" s="74" t="inlineStr">
        <is>
          <t>Ans Q-32; Claude</t>
        </is>
      </c>
      <c r="G30" s="74" t="inlineStr">
        <is>
          <t>Proposed</t>
        </is>
      </c>
    </row>
    <row r="31" ht="15" customHeight="1" s="67">
      <c r="A31" s="74" t="inlineStr">
        <is>
          <t>BR-16</t>
        </is>
      </c>
      <c r="B31" s="74" t="inlineStr">
        <is>
          <t>Installer format</t>
        </is>
      </c>
      <c r="C31" s="74" t="inlineStr">
        <is>
          <t>Zip of the one-folder build.</t>
        </is>
      </c>
      <c r="D31" s="74" t="n"/>
      <c r="E31" s="74" t="inlineStr">
        <is>
          <t>Q-28</t>
        </is>
      </c>
      <c r="F31" s="74" t="inlineStr">
        <is>
          <t>Ans Q-28</t>
        </is>
      </c>
      <c r="G31" s="74" t="inlineStr">
        <is>
          <t>Agreed</t>
        </is>
      </c>
    </row>
    <row r="32" ht="15" customHeight="1" s="67">
      <c r="A32" s="74" t="inlineStr">
        <is>
          <t>BR-17</t>
        </is>
      </c>
      <c r="B32" s="74" t="inlineStr">
        <is>
          <t>Release channel</t>
        </is>
      </c>
      <c r="C32" s="74" t="inlineStr">
        <is>
          <t>GitHub Releases on the repo.</t>
        </is>
      </c>
      <c r="D32" s="74" t="n"/>
      <c r="E32" s="74" t="inlineStr">
        <is>
          <t>Q-28</t>
        </is>
      </c>
      <c r="F32" s="74" t="inlineStr">
        <is>
          <t>Ans Q-28</t>
        </is>
      </c>
      <c r="G32" s="74" t="inlineStr">
        <is>
          <t>Agreed</t>
        </is>
      </c>
    </row>
    <row r="33" ht="15" customHeight="1" s="67">
      <c r="A33" s="74" t="inlineStr">
        <is>
          <t>BR-18</t>
        </is>
      </c>
      <c r="B33" s="74" t="inlineStr">
        <is>
          <t>Versioning</t>
        </is>
      </c>
      <c r="C33" s="74" t="inlineStr">
        <is>
          <t>Semver; git tag per release; version shown on T4.</t>
        </is>
      </c>
      <c r="D33" s="74" t="n"/>
      <c r="E33" s="74" t="n"/>
      <c r="F33" s="74" t="inlineStr">
        <is>
          <t>Claude</t>
        </is>
      </c>
      <c r="G33" s="74" t="inlineStr">
        <is>
          <t>Proposed</t>
        </is>
      </c>
    </row>
    <row r="34" ht="23.85" customHeight="1" s="67">
      <c r="A34" s="74" t="inlineStr">
        <is>
          <t>BR-19</t>
        </is>
      </c>
      <c r="B34" s="74" t="inlineStr">
        <is>
          <t>Code signing</t>
        </is>
      </c>
      <c r="C34" s="74" t="inlineStr">
        <is>
          <t>Unsigned at first — downloaders will see a SmartScreen warning; document it in the README.</t>
        </is>
      </c>
      <c r="D34" s="74" t="n"/>
      <c r="E34" s="74" t="inlineStr">
        <is>
          <t>Q-28</t>
        </is>
      </c>
      <c r="F34" s="74" t="inlineStr">
        <is>
          <t>Ans Q-28</t>
        </is>
      </c>
      <c r="G34" s="74" t="inlineStr">
        <is>
          <t>Agreed</t>
        </is>
      </c>
    </row>
    <row r="35" ht="15" customHeight="1" s="67">
      <c r="A35" s="74" t="inlineStr">
        <is>
          <t>BR-20</t>
        </is>
      </c>
      <c r="B35" s="74" t="inlineStr">
        <is>
          <t>controls_config.ini location</t>
        </is>
      </c>
      <c r="C35" s="74" t="inlineStr">
        <is>
          <t>Next to the exe.</t>
        </is>
      </c>
      <c r="D35" s="74" t="n"/>
      <c r="E35" s="74" t="inlineStr">
        <is>
          <t>Q-28</t>
        </is>
      </c>
      <c r="F35" s="74" t="inlineStr">
        <is>
          <t>Ans Q-28</t>
        </is>
      </c>
      <c r="G35" s="74" t="inlineStr">
        <is>
          <t>Agreed</t>
        </is>
      </c>
    </row>
    <row r="36" ht="23.85" customHeight="1" s="67">
      <c r="A36" s="74" t="inlineStr">
        <is>
          <t>BR-21</t>
        </is>
      </c>
      <c r="B36" s="74" t="inlineStr">
        <is>
          <t>Save-game location</t>
        </is>
      </c>
      <c r="C36" s="74" t="inlineStr">
        <is>
          <t>Next to the exe (saves/).</t>
        </is>
      </c>
      <c r="D36" s="74" t="n"/>
      <c r="E36" s="74" t="inlineStr">
        <is>
          <t>Q-33</t>
        </is>
      </c>
      <c r="F36" s="74" t="inlineStr">
        <is>
          <t>Ans Q-33; Claude</t>
        </is>
      </c>
      <c r="G36" s="74" t="inlineStr">
        <is>
          <t>Proposed</t>
        </is>
      </c>
    </row>
    <row r="37" ht="23.85" customHeight="1" s="67">
      <c r="A37" s="74" t="inlineStr">
        <is>
          <t>BR-22</t>
        </is>
      </c>
      <c r="B37" s="74" t="inlineStr">
        <is>
          <t>Public README</t>
        </is>
      </c>
      <c r="C37" s="74" t="inlineStr">
        <is>
          <t>How to play, SmartScreen note, how to build from source, MIT licence line.</t>
        </is>
      </c>
      <c r="D37" s="74" t="n"/>
      <c r="E37" s="74" t="inlineStr">
        <is>
          <t>Q-27</t>
        </is>
      </c>
      <c r="F37" s="74" t="inlineStr">
        <is>
          <t>Claude</t>
        </is>
      </c>
      <c r="G37" s="74" t="inlineStr">
        <is>
          <t>Proposed</t>
        </is>
      </c>
    </row>
    <row r="38" ht="15" customHeight="1" s="67">
      <c r="A38" s="74" t="n"/>
      <c r="B38" s="74" t="n"/>
      <c r="C38" s="74" t="n"/>
      <c r="D38" s="74" t="n"/>
      <c r="E38" s="74" t="n"/>
      <c r="F38" s="74" t="n"/>
      <c r="G38" s="74" t="n"/>
    </row>
    <row r="39" ht="15" customHeight="1" s="67">
      <c r="A39" s="74" t="n"/>
      <c r="B39" s="74" t="n"/>
      <c r="C39" s="74" t="n"/>
      <c r="D39" s="74" t="n"/>
      <c r="E39" s="74" t="n"/>
      <c r="F39" s="74" t="n"/>
      <c r="G39" s="74" t="n"/>
    </row>
    <row r="41" ht="15" customHeight="1" s="67">
      <c r="A41" s="127" t="inlineStr">
        <is>
          <t>Build-kit files this Project will produce</t>
        </is>
      </c>
    </row>
    <row r="42" ht="15" customHeight="1" s="67">
      <c r="A42" s="77" t="inlineStr">
        <is>
          <t>Status = whether the file exists yet.</t>
        </is>
      </c>
    </row>
    <row r="43" ht="15" customHeight="1" s="67">
      <c r="A43" s="128" t="inlineStr">
        <is>
          <t>ID</t>
        </is>
      </c>
      <c r="B43" s="128" t="inlineStr">
        <is>
          <t>File</t>
        </is>
      </c>
      <c r="C43" s="128" t="inlineStr">
        <is>
          <t>Purpose</t>
        </is>
      </c>
      <c r="D43" s="128" t="inlineStr">
        <is>
          <t>Notes</t>
        </is>
      </c>
      <c r="E43" s="128" t="inlineStr">
        <is>
          <t>Open Q</t>
        </is>
      </c>
      <c r="F43" s="128" t="inlineStr">
        <is>
          <t>Origin</t>
        </is>
      </c>
      <c r="G43" s="128" t="inlineStr">
        <is>
          <t>Status</t>
        </is>
      </c>
    </row>
    <row r="44" ht="15" customHeight="1" s="67">
      <c r="A44" s="74" t="inlineStr">
        <is>
          <t>KIT-01</t>
        </is>
      </c>
      <c r="B44" s="74" t="inlineStr">
        <is>
          <t>DESIGN.md / PRD</t>
        </is>
      </c>
      <c r="C44" s="74" t="inlineStr">
        <is>
          <t>Design document generated from this workbook.</t>
        </is>
      </c>
      <c r="D44" s="74" t="n"/>
      <c r="E44" s="74" t="n"/>
      <c r="F44" s="74" t="inlineStr">
        <is>
          <t>Project</t>
        </is>
      </c>
      <c r="G44" s="74" t="inlineStr">
        <is>
          <t>Not started</t>
        </is>
      </c>
    </row>
    <row r="45" ht="15" customHeight="1" s="67">
      <c r="A45" s="74" t="inlineStr">
        <is>
          <t>KIT-02</t>
        </is>
      </c>
      <c r="B45" s="74" t="inlineStr">
        <is>
          <t>BOOTSTRAP.md</t>
        </is>
      </c>
      <c r="C45" s="74" t="inlineStr">
        <is>
          <t>First prompt for Claude Code.</t>
        </is>
      </c>
      <c r="D45" s="74" t="n"/>
      <c r="E45" s="74" t="n"/>
      <c r="F45" s="74" t="inlineStr">
        <is>
          <t>Project</t>
        </is>
      </c>
      <c r="G45" s="74" t="inlineStr">
        <is>
          <t>Not started</t>
        </is>
      </c>
    </row>
    <row r="46" ht="15" customHeight="1" s="67">
      <c r="A46" s="74" t="inlineStr">
        <is>
          <t>KIT-03</t>
        </is>
      </c>
      <c r="B46" s="74" t="inlineStr">
        <is>
          <t>CLAUDE.md</t>
        </is>
      </c>
      <c r="C46" s="74" t="inlineStr">
        <is>
          <t>Standing instructions in the repo.</t>
        </is>
      </c>
      <c r="D46" s="74" t="n"/>
      <c r="E46" s="74" t="n"/>
      <c r="F46" s="74" t="inlineStr">
        <is>
          <t>Project</t>
        </is>
      </c>
      <c r="G46" s="74" t="inlineStr">
        <is>
          <t>Not started</t>
        </is>
      </c>
    </row>
    <row r="47" ht="15" customHeight="1" s="67">
      <c r="A47" s="74" t="inlineStr">
        <is>
          <t>KIT-04</t>
        </is>
      </c>
      <c r="B47" s="74" t="inlineStr">
        <is>
          <t>SETUP.md</t>
        </is>
      </c>
      <c r="C47" s="74" t="inlineStr">
        <is>
          <t>Python 3.12, venv MOS, dependencies.</t>
        </is>
      </c>
      <c r="D47" s="74" t="n"/>
      <c r="E47" s="74" t="n"/>
      <c r="F47" s="74" t="inlineStr">
        <is>
          <t>Project</t>
        </is>
      </c>
      <c r="G47" s="74" t="inlineStr">
        <is>
          <t>Not started</t>
        </is>
      </c>
    </row>
    <row r="48" ht="15" customHeight="1" s="67">
      <c r="A48" s="74" t="inlineStr">
        <is>
          <t>KIT-05</t>
        </is>
      </c>
      <c r="B48" s="74" t="inlineStr">
        <is>
          <t>DECISIONS.md</t>
        </is>
      </c>
      <c r="C48" s="74" t="inlineStr">
        <is>
          <t>Exported from 17 Decisions.</t>
        </is>
      </c>
      <c r="D48" s="74" t="n"/>
      <c r="E48" s="74" t="n"/>
      <c r="F48" s="74" t="inlineStr">
        <is>
          <t>Project</t>
        </is>
      </c>
      <c r="G48" s="74" t="inlineStr">
        <is>
          <t>Not started</t>
        </is>
      </c>
    </row>
    <row r="49" ht="15" customHeight="1" s="67">
      <c r="A49" s="74" t="inlineStr">
        <is>
          <t>KIT-06</t>
        </is>
      </c>
      <c r="B49" s="74" t="inlineStr">
        <is>
          <t>controls_config.ini</t>
        </is>
      </c>
      <c r="C49" s="74" t="inlineStr">
        <is>
          <t>Generated from 15 Config Keys.</t>
        </is>
      </c>
      <c r="D49" s="74" t="n"/>
      <c r="E49" s="74" t="n"/>
      <c r="F49" s="74" t="inlineStr">
        <is>
          <t>BP r111</t>
        </is>
      </c>
      <c r="G49" s="74" t="inlineStr">
        <is>
          <t>Not started</t>
        </is>
      </c>
    </row>
    <row r="50" ht="23.85" customHeight="1" s="67">
      <c r="A50" s="74" t="inlineStr">
        <is>
          <t>KIT-07</t>
        </is>
      </c>
      <c r="B50" s="74" t="inlineStr">
        <is>
          <t>Milestone specs</t>
        </is>
      </c>
      <c r="C50" s="74" t="inlineStr">
        <is>
          <t>M1 engine + bus + grids; M2 movement + hazards; M3 combat + reputation; M4 trade + items + endgame; M5 packaging.</t>
        </is>
      </c>
      <c r="D50" s="74" t="n"/>
      <c r="E50" s="74" t="n"/>
      <c r="F50" s="74" t="inlineStr">
        <is>
          <t>Claude</t>
        </is>
      </c>
      <c r="G50" s="74" t="inlineStr">
        <is>
          <t>Proposed</t>
        </is>
      </c>
    </row>
    <row r="51" ht="15" customHeight="1" s="67">
      <c r="A51" s="74" t="inlineStr">
        <is>
          <t>KIT-08</t>
        </is>
      </c>
      <c r="B51" s="74" t="inlineStr">
        <is>
          <t>build.ps1 / launch.ps1</t>
        </is>
      </c>
      <c r="C51" s="74" t="inlineStr">
        <is>
          <t>Build the exe; launch the processes.</t>
        </is>
      </c>
      <c r="D51" s="74" t="n"/>
      <c r="E51" s="74" t="n"/>
      <c r="F51" s="74" t="inlineStr">
        <is>
          <t>Project</t>
        </is>
      </c>
      <c r="G51" s="74" t="inlineStr">
        <is>
          <t>Not started</t>
        </is>
      </c>
    </row>
    <row r="52" ht="15" customHeight="1" s="67">
      <c r="A52" s="74" t="inlineStr">
        <is>
          <t>KIT-10</t>
        </is>
      </c>
      <c r="B52" s="74" t="inlineStr">
        <is>
          <t>LICENSE</t>
        </is>
      </c>
      <c r="C52" s="74" t="inlineStr">
        <is>
          <t>MIT licence text with the copyright line.</t>
        </is>
      </c>
      <c r="D52" s="74" t="n"/>
      <c r="E52" s="74" t="inlineStr">
        <is>
          <t>Q-27</t>
        </is>
      </c>
      <c r="F52" s="74" t="inlineStr">
        <is>
          <t>Chat A20</t>
        </is>
      </c>
      <c r="G52" s="74" t="inlineStr">
        <is>
          <t>Not started</t>
        </is>
      </c>
    </row>
    <row r="53" ht="46.25" customHeight="1" s="67">
      <c r="A53" s="74" t="inlineStr">
        <is>
          <t>KIT-09</t>
        </is>
      </c>
      <c r="B53" s="74" t="inlineStr">
        <is>
          <t>Gates / harness</t>
        </is>
      </c>
      <c r="C53" s="74" t="inlineStr">
        <is>
          <t>Turns advance; AI acts; viewports fresh; no orphans; exe runs; game over fires on destruction; mutiny fires at zero supplies; mastery fires. Includes an AI-only run-to-completion check (robustness, not a pacing target).</t>
        </is>
      </c>
      <c r="D53" s="74" t="n"/>
      <c r="E53" s="74" t="n"/>
      <c r="F53" s="74" t="inlineStr">
        <is>
          <t>Project; Chat A15</t>
        </is>
      </c>
      <c r="G53" s="74" t="inlineStr">
        <is>
          <t>Not started</t>
        </is>
      </c>
    </row>
    <row r="54" ht="15" customHeight="1" s="67">
      <c r="A54" s="74" t="n"/>
      <c r="B54" s="74" t="n"/>
      <c r="C54" s="74" t="n"/>
      <c r="D54" s="74" t="n"/>
      <c r="E54" s="74" t="n"/>
      <c r="F54" s="74" t="n"/>
      <c r="G54" s="74" t="n"/>
    </row>
    <row r="55" ht="15" customHeight="1" s="67">
      <c r="A55" s="74" t="n"/>
      <c r="B55" s="74" t="n"/>
      <c r="C55" s="74" t="n"/>
      <c r="D55" s="74" t="n"/>
      <c r="E55" s="74" t="n"/>
      <c r="F55" s="74" t="n"/>
      <c r="G55" s="74" t="n"/>
    </row>
  </sheetData>
  <autoFilter ref="A6:G13"/>
  <mergeCells count="5">
    <mergeCell ref="A26:G26"/>
    <mergeCell ref="A15:G15"/>
    <mergeCell ref="A42:G42"/>
    <mergeCell ref="A41:G41"/>
    <mergeCell ref="A5:G5"/>
  </mergeCells>
  <conditionalFormatting sqref="G7:G13">
    <cfRule type="cellIs" rank="0" priority="2" equalAverage="0" operator="equal" aboveAverage="0" dxfId="9" text="" percent="0" bottom="0">
      <formula>"Agreed"</formula>
    </cfRule>
    <cfRule type="cellIs" rank="0" priority="3" equalAverage="0" operator="equal" aboveAverage="0" dxfId="10" text="" percent="0" bottom="0">
      <formula>"Proposed"</formula>
    </cfRule>
    <cfRule type="cellIs" rank="0" priority="4" equalAverage="0" operator="equal" aboveAverage="0" dxfId="11" text="" percent="0" bottom="0">
      <formula>"Draft"</formula>
    </cfRule>
    <cfRule type="cellIs" rank="0" priority="5" equalAverage="0" operator="equal" aboveAverage="0" dxfId="12" text="" percent="0" bottom="0">
      <formula>"Needs detail"</formula>
    </cfRule>
    <cfRule type="cellIs" rank="0" priority="6" equalAverage="0" operator="equal" aboveAverage="0" dxfId="13" text="" percent="0" bottom="0">
      <formula>"Not started"</formula>
    </cfRule>
  </conditionalFormatting>
  <conditionalFormatting sqref="G17:G24">
    <cfRule type="cellIs" rank="0" priority="7" equalAverage="0" operator="equal" aboveAverage="0" dxfId="9" text="" percent="0" bottom="0">
      <formula>"Agreed"</formula>
    </cfRule>
    <cfRule type="cellIs" rank="0" priority="8" equalAverage="0" operator="equal" aboveAverage="0" dxfId="10" text="" percent="0" bottom="0">
      <formula>"Proposed"</formula>
    </cfRule>
    <cfRule type="cellIs" rank="0" priority="9" equalAverage="0" operator="equal" aboveAverage="0" dxfId="11" text="" percent="0" bottom="0">
      <formula>"Draft"</formula>
    </cfRule>
    <cfRule type="cellIs" rank="0" priority="10" equalAverage="0" operator="equal" aboveAverage="0" dxfId="12" text="" percent="0" bottom="0">
      <formula>"Needs detail"</formula>
    </cfRule>
    <cfRule type="cellIs" rank="0" priority="11" equalAverage="0" operator="equal" aboveAverage="0" dxfId="13" text="" percent="0" bottom="0">
      <formula>"Not started"</formula>
    </cfRule>
  </conditionalFormatting>
  <conditionalFormatting sqref="G28:G39">
    <cfRule type="cellIs" rank="0" priority="12" equalAverage="0" operator="equal" aboveAverage="0" dxfId="9" text="" percent="0" bottom="0">
      <formula>"Agreed"</formula>
    </cfRule>
    <cfRule type="cellIs" rank="0" priority="13" equalAverage="0" operator="equal" aboveAverage="0" dxfId="10" text="" percent="0" bottom="0">
      <formula>"Proposed"</formula>
    </cfRule>
    <cfRule type="cellIs" rank="0" priority="14" equalAverage="0" operator="equal" aboveAverage="0" dxfId="11" text="" percent="0" bottom="0">
      <formula>"Draft"</formula>
    </cfRule>
    <cfRule type="cellIs" rank="0" priority="15" equalAverage="0" operator="equal" aboveAverage="0" dxfId="12" text="" percent="0" bottom="0">
      <formula>"Needs detail"</formula>
    </cfRule>
    <cfRule type="cellIs" rank="0" priority="16" equalAverage="0" operator="equal" aboveAverage="0" dxfId="13" text="" percent="0" bottom="0">
      <formula>"Not started"</formula>
    </cfRule>
  </conditionalFormatting>
  <conditionalFormatting sqref="G44:G55">
    <cfRule type="cellIs" rank="0" priority="17" equalAverage="0" operator="equal" aboveAverage="0" dxfId="9" text="" percent="0" bottom="0">
      <formula>"Agreed"</formula>
    </cfRule>
    <cfRule type="cellIs" rank="0" priority="18" equalAverage="0" operator="equal" aboveAverage="0" dxfId="10" text="" percent="0" bottom="0">
      <formula>"Proposed"</formula>
    </cfRule>
    <cfRule type="cellIs" rank="0" priority="19" equalAverage="0" operator="equal" aboveAverage="0" dxfId="11" text="" percent="0" bottom="0">
      <formula>"Draft"</formula>
    </cfRule>
    <cfRule type="cellIs" rank="0" priority="20" equalAverage="0" operator="equal" aboveAverage="0" dxfId="12" text="" percent="0" bottom="0">
      <formula>"Needs detail"</formula>
    </cfRule>
    <cfRule type="cellIs" rank="0" priority="21" equalAverage="0" operator="equal" aboveAverage="0" dxfId="13" text="" percent="0" bottom="0">
      <formula>"Not started"</formula>
    </cfRule>
  </conditionalFormatting>
  <dataValidations count="1">
    <dataValidation sqref="G7:G13 G17:G24 G28:G39 G44:G55" showDropDown="0" showInputMessage="0" showErrorMessage="0" allowBlank="1" type="list" errorStyle="stop" operator="between">
      <formula1>"Agreed,Proposed,Draft,Needs detail,Not started"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808080"/>
    <outlinePr summaryBelow="1" summaryRight="1"/>
    <pageSetUpPr fitToPage="1"/>
  </sheetPr>
  <dimension ref="A1:B11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6" min="1" max="1"/>
    <col width="130" customWidth="1" style="66" min="2" max="2"/>
  </cols>
  <sheetData>
    <row r="1" ht="17.35" customHeight="1" s="67">
      <c r="A1" s="68" t="inlineStr">
        <is>
          <t>Source v1 — your blueprint, verbatim</t>
        </is>
      </c>
    </row>
    <row r="2" ht="15" customHeight="1" s="67">
      <c r="A2" s="69" t="inlineStr">
        <is>
          <t>Do not edit. 'BP rNN' = row NN below. 'Chat An' = addendum rows. 'Ans Q-xx' = your answer on tab 16.</t>
        </is>
      </c>
    </row>
    <row r="3" ht="15" customHeight="1" s="67">
      <c r="A3" s="70">
        <f>HYPERLINK("#'0 Index'!A1","↩ Index")</f>
        <v/>
      </c>
    </row>
    <row r="5" ht="15" customHeight="1" s="67">
      <c r="A5" s="129" t="inlineStr">
        <is>
          <t>Row</t>
        </is>
      </c>
      <c r="B5" s="129" t="inlineStr">
        <is>
          <t>Text</t>
        </is>
      </c>
    </row>
    <row r="6" ht="15" customHeight="1" s="67">
      <c r="A6" s="130" t="n">
        <v>1</v>
      </c>
      <c r="B6" s="131" t="inlineStr">
        <is>
          <t>Game Type</t>
        </is>
      </c>
    </row>
    <row r="7" ht="15" customHeight="1" s="67">
      <c r="A7" s="130" t="n">
        <v>3</v>
      </c>
      <c r="B7" s="98" t="inlineStr">
        <is>
          <t>Text based game</t>
        </is>
      </c>
    </row>
    <row r="8" ht="15" customHeight="1" s="67">
      <c r="A8" s="130" t="n">
        <v>4</v>
      </c>
      <c r="B8" s="98" t="inlineStr">
        <is>
          <t>Turn based game i.e. user enters a bunch of inputs (could be many inputs, think of star trek birth of the federation), then turn execution</t>
        </is>
      </c>
    </row>
    <row r="9" ht="15" customHeight="1" s="67">
      <c r="A9" s="130" t="n">
        <v>6</v>
      </c>
      <c r="B9" s="131" t="inlineStr">
        <is>
          <t>Purpose</t>
        </is>
      </c>
    </row>
    <row r="10" ht="15" customHeight="1" s="67">
      <c r="A10" s="130" t="n">
        <v>8</v>
      </c>
      <c r="B10" s="98" t="inlineStr">
        <is>
          <t>User/player starts off with a starship, where they can explore the universe (universe --&gt; galaxies --&gt; sectors --&gt; stars/planets/ships/objects)</t>
        </is>
      </c>
    </row>
    <row r="11" ht="15" customHeight="1" s="67">
      <c r="A11" s="130" t="n">
        <v>9</v>
      </c>
      <c r="B11" s="98" t="inlineStr">
        <is>
          <t>The user player is the captain of the ship they have, more details on the ship and universe later</t>
        </is>
      </c>
    </row>
    <row r="12" ht="15" customHeight="1" s="67">
      <c r="A12" s="130" t="n">
        <v>10</v>
      </c>
      <c r="B12" s="98" t="inlineStr">
        <is>
          <t>Ships can battle with each other.</t>
        </is>
      </c>
    </row>
    <row r="13" ht="15" customHeight="1" s="67">
      <c r="A13" s="130" t="n">
        <v>11</v>
      </c>
      <c r="B13" s="98" t="inlineStr">
        <is>
          <t>Captains can gain wealth and special items.</t>
        </is>
      </c>
    </row>
    <row r="14" ht="35.05" customHeight="1" s="67">
      <c r="A14" s="130" t="n">
        <v>12</v>
      </c>
      <c r="B14" s="98" t="inlineStr">
        <is>
          <t>Once a certain level of wealth, respect and fear and specific items are obtained, they will be eligible to find the ultimate secret item (I need more thought on what the name can be here), which will allow them to have infinite wealth and max weapons and max shields and max engine/warpcore, then they can continue with the game with these max super powers.</t>
        </is>
      </c>
    </row>
    <row r="15" ht="15" customHeight="1" s="67">
      <c r="A15" s="130" t="n">
        <v>13</v>
      </c>
      <c r="B15" s="98" t="inlineStr">
        <is>
          <t>A captain, during the game, may have more than one ship and the terminal will allow the user player to switch between their ships.</t>
        </is>
      </c>
    </row>
    <row r="16" ht="15" customHeight="1" s="67">
      <c r="A16" s="130" t="n">
        <v>15</v>
      </c>
      <c r="B16" s="131" t="inlineStr">
        <is>
          <t>Terminal Based Game</t>
        </is>
      </c>
    </row>
    <row r="17" ht="15" customHeight="1" s="67">
      <c r="A17" s="130" t="n">
        <v>17</v>
      </c>
      <c r="B17" s="98" t="inlineStr">
        <is>
          <t>One terminal for commands</t>
        </is>
      </c>
    </row>
    <row r="18" ht="15" customHeight="1" s="67">
      <c r="A18" s="130" t="n">
        <v>18</v>
      </c>
      <c r="B18" s="98" t="inlineStr">
        <is>
          <t>One to show the grid (either at universe level, galaxy level, sector level)</t>
        </is>
      </c>
    </row>
    <row r="19" ht="15" customHeight="1" s="67">
      <c r="A19" s="130" t="n">
        <v>19</v>
      </c>
      <c r="B19" s="98" t="inlineStr">
        <is>
          <t>One for output/results/info</t>
        </is>
      </c>
    </row>
    <row r="20" ht="15" customHeight="1" s="67">
      <c r="A20" s="130" t="n">
        <v>21</v>
      </c>
      <c r="B20" s="98" t="inlineStr">
        <is>
          <t>I am envisioning a MQ/BUS connecting all terminals in real-time (see basic diagram on the right) | MQ / BUS</t>
        </is>
      </c>
    </row>
    <row r="21" ht="15" customHeight="1" s="67">
      <c r="A21" s="130" t="n">
        <v>22</v>
      </c>
      <c r="B21" s="98" t="inlineStr">
        <is>
          <t>i.e.</t>
        </is>
      </c>
    </row>
    <row r="22" ht="15" customHeight="1" s="67">
      <c r="A22" s="130" t="n">
        <v>23</v>
      </c>
      <c r="B22" s="98" t="inlineStr">
        <is>
          <t>Grid | Output | Terminal</t>
        </is>
      </c>
    </row>
    <row r="23" ht="15" customHeight="1" s="67">
      <c r="A23" s="130" t="n">
        <v>26</v>
      </c>
      <c r="B23" s="131" t="inlineStr">
        <is>
          <t>Classes</t>
        </is>
      </c>
    </row>
    <row r="24" ht="15" customHeight="1" s="67">
      <c r="A24" s="130" t="n">
        <v>28</v>
      </c>
      <c r="B24" s="98" t="inlineStr">
        <is>
          <t>This section outlines the various objects and relationships and structures in the game</t>
        </is>
      </c>
    </row>
    <row r="25" ht="15" customHeight="1" s="67">
      <c r="A25" s="130" t="n">
        <v>30</v>
      </c>
      <c r="B25" s="98" t="inlineStr">
        <is>
          <t>GeneralGrid</t>
        </is>
      </c>
    </row>
    <row r="26" ht="15" customHeight="1" s="67">
      <c r="A26" s="130" t="n">
        <v>31</v>
      </c>
      <c r="B26" s="98" t="inlineStr">
        <is>
          <t>General Grid Class: something like a list of lists perhaps, or something more efficient i.e. a matrix of somesort</t>
        </is>
      </c>
    </row>
    <row r="27" ht="15" customHeight="1" s="67">
      <c r="A27" s="130" t="n">
        <v>32</v>
      </c>
      <c r="B27" s="98" t="inlineStr">
        <is>
          <t>General Grid is a M x N matrix</t>
        </is>
      </c>
    </row>
    <row r="28" ht="15" customHeight="1" s="67">
      <c r="A28" s="130" t="n">
        <v>34</v>
      </c>
      <c r="B28" s="98" t="inlineStr">
        <is>
          <t>Universe Grid</t>
        </is>
      </c>
    </row>
    <row r="29" ht="15" customHeight="1" s="67">
      <c r="A29" s="130" t="n">
        <v>35</v>
      </c>
      <c r="B29" s="98" t="inlineStr">
        <is>
          <t>Universe = {Galaxy(s), Void(s)}</t>
        </is>
      </c>
    </row>
    <row r="30" ht="15" customHeight="1" s="67">
      <c r="A30" s="130" t="n">
        <v>36</v>
      </c>
      <c r="B30" s="98" t="inlineStr">
        <is>
          <t>Each cell = either a Galaxy or Void</t>
        </is>
      </c>
    </row>
    <row r="31" ht="15" customHeight="1" s="67">
      <c r="A31" s="130" t="n">
        <v>38</v>
      </c>
      <c r="B31" s="98" t="inlineStr">
        <is>
          <t>Galaxy Grid</t>
        </is>
      </c>
    </row>
    <row r="32" ht="15" customHeight="1" s="67">
      <c r="A32" s="130" t="n">
        <v>39</v>
      </c>
      <c r="B32" s="98" t="inlineStr">
        <is>
          <t>Galaxy = {Sector(s), Void(s)}</t>
        </is>
      </c>
    </row>
    <row r="33" ht="15" customHeight="1" s="67">
      <c r="A33" s="130" t="n">
        <v>40</v>
      </c>
      <c r="B33" s="98" t="inlineStr">
        <is>
          <t>Each cell = either a Sector or Void</t>
        </is>
      </c>
    </row>
    <row r="34" ht="15" customHeight="1" s="67">
      <c r="A34" s="130" t="n">
        <v>42</v>
      </c>
      <c r="B34" s="98" t="inlineStr">
        <is>
          <t>Sector Grid</t>
        </is>
      </c>
    </row>
    <row r="35" ht="15" customHeight="1" s="67">
      <c r="A35" s="130" t="n">
        <v>43</v>
      </c>
      <c r="B35" s="98" t="inlineStr">
        <is>
          <t>Sector = { Stellar Object(s), Planet(s), Ship(s), Special Items(s), Void(s) }</t>
        </is>
      </c>
    </row>
    <row r="36" ht="15" customHeight="1" s="67">
      <c r="A36" s="130" t="n">
        <v>44</v>
      </c>
      <c r="B36" s="98" t="inlineStr">
        <is>
          <t>Each cell = either stellar object or planet or special item or void</t>
        </is>
      </c>
    </row>
    <row r="37" ht="15" customHeight="1" s="67">
      <c r="A37" s="130" t="n">
        <v>45</v>
      </c>
      <c r="B37" s="98" t="inlineStr">
        <is>
          <t>Special items are somewhat rare and shouldn’t be expected in every sector</t>
        </is>
      </c>
    </row>
    <row r="38" ht="15" customHeight="1" s="67">
      <c r="A38" s="130" t="n">
        <v>46</v>
      </c>
      <c r="B38" s="98" t="inlineStr">
        <is>
          <t>There may be binary star systems or even triple</t>
        </is>
      </c>
    </row>
    <row r="39" ht="15" customHeight="1" s="67">
      <c r="A39" s="130" t="n">
        <v>48</v>
      </c>
      <c r="B39" s="98" t="inlineStr">
        <is>
          <t>Stellar Class</t>
        </is>
      </c>
    </row>
    <row r="40" ht="15" customHeight="1" s="67">
      <c r="A40" s="130" t="n">
        <v>49</v>
      </c>
      <c r="B40" s="98" t="inlineStr">
        <is>
          <t>Stellar Types = {Star, Black Hole, Neutron Star}</t>
        </is>
      </c>
    </row>
    <row r="41" ht="15" customHeight="1" s="67">
      <c r="A41" s="130" t="n">
        <v>51</v>
      </c>
      <c r="B41" s="98" t="inlineStr">
        <is>
          <t>Stellar Class = {radius, base_energy, mass}</t>
        </is>
      </c>
    </row>
    <row r="42" ht="15" customHeight="1" s="67">
      <c r="A42" s="130" t="n">
        <v>52</v>
      </c>
      <c r="B42" s="98" t="inlineStr">
        <is>
          <t>energy (float) is bucketed in such a way where:</t>
        </is>
      </c>
    </row>
    <row r="43" ht="15" customHeight="1" s="67">
      <c r="A43" s="130" t="n">
        <v>53</v>
      </c>
      <c r="B43" s="98" t="inlineStr">
        <is>
          <t>- low energy i.e. low temperature --&gt; dying star e.g. white dwarf</t>
        </is>
      </c>
    </row>
    <row r="44" ht="15" customHeight="1" s="67">
      <c r="A44" s="130" t="n">
        <v>54</v>
      </c>
      <c r="B44" s="98" t="inlineStr">
        <is>
          <t>- medium energy i.e. med temperature --&gt; normal star e.g. our sun</t>
        </is>
      </c>
    </row>
    <row r="45" ht="15" customHeight="1" s="67">
      <c r="A45" s="130" t="n">
        <v>55</v>
      </c>
      <c r="B45" s="98" t="inlineStr">
        <is>
          <t>- high energy i.e. high temperature --&gt; big star e.g. beetleguese</t>
        </is>
      </c>
    </row>
    <row r="46" ht="15" customHeight="1" s="67">
      <c r="A46" s="130" t="n">
        <v>56</v>
      </c>
      <c r="B46" s="98" t="inlineStr">
        <is>
          <t>Temperature is a function of Energy, where</t>
        </is>
      </c>
    </row>
    <row r="47" ht="15" customHeight="1" s="67">
      <c r="A47" s="130" t="n">
        <v>57</v>
      </c>
      <c r="B47" s="98" t="inlineStr">
        <is>
          <t>Energy = Base Energy * Radius (or Volume)</t>
        </is>
      </c>
    </row>
    <row r="48" ht="15" customHeight="1" s="67">
      <c r="A48" s="130" t="n">
        <v>58</v>
      </c>
      <c r="B48" s="98" t="inlineStr">
        <is>
          <t>Gravitational Strength is a function of mass</t>
        </is>
      </c>
    </row>
    <row r="49" ht="15" customHeight="1" s="67">
      <c r="A49" s="130" t="n">
        <v>60</v>
      </c>
      <c r="B49" s="98" t="inlineStr">
        <is>
          <t>BlackHole = {mass, radius, wormhole (boolean)}</t>
        </is>
      </c>
    </row>
    <row r="50" ht="15" customHeight="1" s="67">
      <c r="A50" s="130" t="n">
        <v>61</v>
      </c>
      <c r="B50" s="98" t="inlineStr">
        <is>
          <t>Mass of a black hole would be very high</t>
        </is>
      </c>
    </row>
    <row r="51" ht="15" customHeight="1" s="67">
      <c r="A51" s="130" t="n">
        <v>62</v>
      </c>
      <c r="B51" s="98" t="inlineStr">
        <is>
          <t>Mass determines the gravitational strength</t>
        </is>
      </c>
    </row>
    <row r="52" ht="15" customHeight="1" s="67">
      <c r="A52" s="130" t="n">
        <v>64</v>
      </c>
      <c r="B52" s="98" t="inlineStr">
        <is>
          <t>Some Examples of actions</t>
        </is>
      </c>
    </row>
    <row r="53" ht="15" customHeight="1" s="67">
      <c r="A53" s="130" t="n">
        <v>65</v>
      </c>
      <c r="B53" s="98" t="inlineStr">
        <is>
          <t>If a ship is one or more grid-cell away from a star then 0 gravitational effect is applied</t>
        </is>
      </c>
    </row>
    <row r="54" ht="15" customHeight="1" s="67">
      <c r="A54" s="130" t="n">
        <v>66</v>
      </c>
      <c r="B54" s="98" t="inlineStr">
        <is>
          <t>But if the ship is in the same cell as a star, then depending on gravitational strength, it will pull the ship in the star over a certain length of turn i.e. time</t>
        </is>
      </c>
    </row>
    <row r="55" ht="15" customHeight="1" s="67">
      <c r="A55" s="130" t="n">
        <v>67</v>
      </c>
      <c r="B55" s="98" t="inlineStr">
        <is>
          <t>e.g. for the Sun it may take 7 turns before getting pulled in if the ship does not move</t>
        </is>
      </c>
    </row>
    <row r="56" ht="15" customHeight="1" s="67">
      <c r="A56" s="130" t="n">
        <v>68</v>
      </c>
      <c r="B56" s="98" t="inlineStr">
        <is>
          <t>Also, when the ship is in the same cell as a star, shields get drained depending on energy of the star</t>
        </is>
      </c>
    </row>
    <row r="57" ht="15" customHeight="1" s="67">
      <c r="A57" s="130" t="n">
        <v>70</v>
      </c>
      <c r="B57" s="98" t="inlineStr">
        <is>
          <t>For Black Holes: regardless of which cell a ship is in in the sector where there is a black hole, the ship will be pulled in (and destroyed)</t>
        </is>
      </c>
    </row>
    <row r="58" ht="15" customHeight="1" s="67">
      <c r="A58" s="130" t="n">
        <v>71</v>
      </c>
      <c r="B58" s="98" t="inlineStr">
        <is>
          <t>For Wormholes: it connects to another blackhole, getting pulled in again on the otherside if the ship does not move.</t>
        </is>
      </c>
    </row>
    <row r="59" ht="15" customHeight="1" s="67">
      <c r="A59" s="130" t="n">
        <v>72</v>
      </c>
      <c r="B59" s="98" t="inlineStr">
        <is>
          <t>Depending on the gravitational strength of the blackhole/wormhole, it will take a number of turns for it to be pulled in if the ship decides not to move</t>
        </is>
      </c>
    </row>
    <row r="60" ht="15" customHeight="1" s="67">
      <c r="A60" s="130" t="n">
        <v>74</v>
      </c>
      <c r="B60" s="98" t="inlineStr">
        <is>
          <t>Ships</t>
        </is>
      </c>
    </row>
    <row r="61" ht="15" customHeight="1" s="67">
      <c r="A61" s="130" t="n">
        <v>75</v>
      </c>
      <c r="B61" s="98" t="inlineStr">
        <is>
          <t>Ships = {torpedos, phasers, shield_power, engine-power, warpcore_power, captain: CaptainClass}</t>
        </is>
      </c>
    </row>
    <row r="62" ht="15" customHeight="1" s="67">
      <c r="A62" s="130" t="n">
        <v>76</v>
      </c>
      <c r="B62" s="98" t="inlineStr">
        <is>
          <t>engine_power (float) determines max impulse speed (0-10) - float.</t>
        </is>
      </c>
    </row>
    <row r="63" ht="15" customHeight="1" s="67">
      <c r="A63" s="130" t="n">
        <v>77</v>
      </c>
      <c r="B63" s="98" t="inlineStr">
        <is>
          <t>warpcore_power (float) determines max warp speed (0-10) - float. Note: At warp 10, means ship can go anywhere in the universe in one turn.</t>
        </is>
      </c>
    </row>
    <row r="64" ht="15" customHeight="1" s="67">
      <c r="A64" s="130" t="n">
        <v>79</v>
      </c>
      <c r="B64" s="98" t="inlineStr">
        <is>
          <t>Captain</t>
        </is>
      </c>
    </row>
    <row r="65" ht="15" customHeight="1" s="67">
      <c r="A65" s="130" t="n">
        <v>80</v>
      </c>
      <c r="B65" s="98" t="inlineStr">
        <is>
          <t>Captain = {name: str, gold_coins: int, silver_coins: int, items: List[Item], fear_level: float, respect_level: float}</t>
        </is>
      </c>
    </row>
    <row r="66" ht="15" customHeight="1" s="67">
      <c r="A66" s="130" t="n">
        <v>82</v>
      </c>
      <c r="B66" s="98" t="inlineStr">
        <is>
          <t>Items</t>
        </is>
      </c>
    </row>
    <row r="67" ht="15" customHeight="1" s="67">
      <c r="A67" s="130" t="n">
        <v>83</v>
      </c>
      <c r="B67" s="98" t="inlineStr">
        <is>
          <t>Items = {food: int, water: int, element_compounds: List[Elements_Compounds]}</t>
        </is>
      </c>
    </row>
    <row r="68" ht="23.85" customHeight="1" s="67">
      <c r="A68" s="130" t="n">
        <v>84</v>
      </c>
      <c r="B68" s="98" t="inlineStr">
        <is>
          <t>Elements_Compounds = {typical precious metals (not including gold and silver), exotic crystals and metals, antimatter elements and compounds, crystals: Crystal (i.e. dilithium, other types of powerful crystals)</t>
        </is>
      </c>
    </row>
    <row r="69" ht="15" customHeight="1" s="67">
      <c r="A69" s="130" t="n">
        <v>86</v>
      </c>
      <c r="B69" s="98" t="inlineStr">
        <is>
          <t>Planets</t>
        </is>
      </c>
    </row>
    <row r="70" ht="15" customHeight="1" s="67">
      <c r="A70" s="130" t="n">
        <v>87</v>
      </c>
      <c r="B70" s="98" t="inlineStr">
        <is>
          <t>Planet = {name: str, food: int, water: int, element_ccompounds: List[Elements_Compounds], shields, torpedos, phasers, prezident_name: str}</t>
        </is>
      </c>
    </row>
    <row r="71" ht="15" customHeight="1" s="67">
      <c r="A71" s="130" t="n">
        <v>89</v>
      </c>
      <c r="B71" s="131" t="inlineStr">
        <is>
          <t>Rules</t>
        </is>
      </c>
    </row>
    <row r="72" ht="15" customHeight="1" s="67">
      <c r="A72" s="130" t="n">
        <v>90</v>
      </c>
      <c r="B72" s="98" t="inlineStr">
        <is>
          <t>The captain can trade items/wealth(gold, silver) with other captains or heads of planets</t>
        </is>
      </c>
    </row>
    <row r="73" ht="15" customHeight="1" s="67">
      <c r="A73" s="130" t="n">
        <v>91</v>
      </c>
      <c r="B73" s="98" t="inlineStr">
        <is>
          <t>Certain elements and compounds can improve torpedos, phasers, shields, engine, warp</t>
        </is>
      </c>
    </row>
    <row r="74" ht="15" customHeight="1" s="67">
      <c r="A74" s="130" t="n">
        <v>93</v>
      </c>
      <c r="B74" s="98" t="inlineStr">
        <is>
          <t>Fear Controls</t>
        </is>
      </c>
    </row>
    <row r="75" ht="15" customHeight="1" s="67">
      <c r="A75" s="130" t="n">
        <v>94</v>
      </c>
      <c r="B75" s="98" t="inlineStr">
        <is>
          <t>Battles won (regardless of oponent level) --&gt; fear level increases</t>
        </is>
      </c>
    </row>
    <row r="76" ht="15" customHeight="1" s="67">
      <c r="A76" s="130" t="n">
        <v>95</v>
      </c>
      <c r="B76" s="98" t="inlineStr">
        <is>
          <t>Battles loss (regardless of oponent level) --&gt; fear level decreases</t>
        </is>
      </c>
    </row>
    <row r="77" ht="15" customHeight="1" s="67">
      <c r="A77" s="130" t="n">
        <v>97</v>
      </c>
      <c r="B77" s="98" t="inlineStr">
        <is>
          <t>Respect Controls</t>
        </is>
      </c>
    </row>
    <row r="78" ht="15" customHeight="1" s="67">
      <c r="A78" s="130" t="n">
        <v>98</v>
      </c>
      <c r="B78" s="98" t="inlineStr">
        <is>
          <t>Battles won (against stronger opponent) --&gt; respect increases</t>
        </is>
      </c>
    </row>
    <row r="79" ht="15" customHeight="1" s="67">
      <c r="A79" s="130" t="n">
        <v>99</v>
      </c>
      <c r="B79" s="98" t="inlineStr">
        <is>
          <t>Battles won (against weaker opponent where opponent offers peace OR the fight is started by the player against the weaker opponent) --&gt; respect decreases</t>
        </is>
      </c>
    </row>
    <row r="80" ht="15" customHeight="1" s="67">
      <c r="A80" s="130" t="n">
        <v>100</v>
      </c>
      <c r="B80" s="98" t="inlineStr">
        <is>
          <t>Starting fights --&gt; respect decreases</t>
        </is>
      </c>
    </row>
    <row r="81" ht="15" customHeight="1" s="67">
      <c r="A81" s="130" t="n">
        <v>102</v>
      </c>
      <c r="B81" s="98" t="inlineStr">
        <is>
          <t>Any accepted trade --&gt; respect increases</t>
        </is>
      </c>
    </row>
    <row r="82" ht="15" customHeight="1" s="67">
      <c r="A82" s="130" t="n">
        <v>103</v>
      </c>
      <c r="B82" s="98" t="inlineStr">
        <is>
          <t>Acquiring special items (elements and compounds) --&gt; respect increases</t>
        </is>
      </c>
    </row>
    <row r="83" ht="15" customHeight="1" s="67">
      <c r="A83" s="130" t="n">
        <v>105</v>
      </c>
      <c r="B83" s="98" t="inlineStr">
        <is>
          <t>Battles</t>
        </is>
      </c>
    </row>
    <row r="84" ht="15" customHeight="1" s="67">
      <c r="A84" s="130" t="n">
        <v>106</v>
      </c>
      <c r="B84" s="98" t="inlineStr">
        <is>
          <t>if A beats B and destroys B --&gt; A acquires all items including wealth, weaponds, engine power, warp power, (not including shield power)</t>
        </is>
      </c>
    </row>
    <row r="85" ht="15" customHeight="1" s="67">
      <c r="A85" s="130" t="n">
        <v>107</v>
      </c>
      <c r="B85" s="98" t="inlineStr">
        <is>
          <t>If same, but B escapes --&gt; No transaction made</t>
        </is>
      </c>
    </row>
    <row r="86" ht="15" customHeight="1" s="67">
      <c r="A86" s="130" t="n">
        <v>108</v>
      </c>
      <c r="B86" s="98" t="inlineStr">
        <is>
          <t>If same, but peace is made during battle, then A gains X% of B's items. X% based on % of net shields: A shield power - B shield power during battle</t>
        </is>
      </c>
    </row>
    <row r="87" ht="15" customHeight="1" s="67">
      <c r="A87" s="130" t="n">
        <v>110</v>
      </c>
      <c r="B87" s="98" t="inlineStr">
        <is>
          <t>Control config</t>
        </is>
      </c>
    </row>
    <row r="88" ht="23.85" customHeight="1" s="67">
      <c r="A88" s="130" t="n">
        <v>111</v>
      </c>
      <c r="B88" s="98" t="inlineStr">
        <is>
          <t>All of these controls of +/- fear and respect values should be based on various conditions (be smart about this), and base values set in a controls_config.ini (same goes for energy --&gt; temperature settings and colour of stars intervals). Note: temperature is calculated from energy, colour is calcuated from temperature.</t>
        </is>
      </c>
    </row>
    <row r="90" ht="15" customHeight="1" s="67">
      <c r="A90" s="132" t="inlineStr">
        <is>
          <t>Addendum — stated in chat on 2026-10-25, verbatim.</t>
        </is>
      </c>
    </row>
    <row r="91" ht="15" customHeight="1" s="67">
      <c r="A91" s="130" t="inlineStr">
        <is>
          <t>A1</t>
        </is>
      </c>
      <c r="B91" s="98" t="inlineStr">
        <is>
          <t>name has been settled to: master of starbour.</t>
        </is>
      </c>
    </row>
    <row r="92" ht="15" customHeight="1" s="67">
      <c r="A92" s="130" t="inlineStr">
        <is>
          <t>A2</t>
        </is>
      </c>
      <c r="B92" s="98" t="inlineStr">
        <is>
          <t>git repo is: git@github.com:selphaware/master-of-starbour.git.</t>
        </is>
      </c>
    </row>
    <row r="93" ht="15" customHeight="1" s="67">
      <c r="A93" s="130" t="inlineStr">
        <is>
          <t>A3</t>
        </is>
      </c>
      <c r="B93" s="98" t="inlineStr">
        <is>
          <t>idea is to make this into an executable package in the end which can be downloaded. i plan to have both code and installable on this repo (for the public).</t>
        </is>
      </c>
    </row>
    <row r="94" ht="23.85" customHeight="1" s="67">
      <c r="A94" s="130" t="inlineStr">
        <is>
          <t>A4</t>
        </is>
      </c>
      <c r="B94" s="98" t="inlineStr">
        <is>
          <t>end goal is to become master of starbour where you get this level of warp, weapons, etc, and you just carry on playing... all planets willing to trade... so the game doesnt end, you just carry on (that is the end)... so there will be a sort of celebration and ceremony, then carry on.</t>
        </is>
      </c>
    </row>
    <row r="95" ht="15" customHeight="1" s="67">
      <c r="A95" s="130" t="inlineStr">
        <is>
          <t>A5</t>
        </is>
      </c>
      <c r="B95" s="98" t="inlineStr">
        <is>
          <t>python venv will be in: E:\CODE\master-of-starbour\MOS\Scripts\python.exe (i.e. env name is MOS)</t>
        </is>
      </c>
    </row>
    <row r="96" ht="15" customHeight="1" s="67">
      <c r="A96" s="130" t="inlineStr">
        <is>
          <t>A6</t>
        </is>
      </c>
      <c r="B96" s="98" t="inlineStr">
        <is>
          <t>of course when you lose the battle you lose the game and start again. and yes project root you assumed is correct.</t>
        </is>
      </c>
    </row>
    <row r="97" ht="15" customHeight="1" s="67">
      <c r="A97" s="130" t="inlineStr">
        <is>
          <t>A7</t>
        </is>
      </c>
      <c r="B97" s="98" t="inlineStr">
        <is>
          <t>yes repo is public i will be doing git operations via ssh.</t>
        </is>
      </c>
    </row>
    <row r="98" ht="15" customHeight="1" s="67">
      <c r="A98" s="130" t="inlineStr">
        <is>
          <t>A8</t>
        </is>
      </c>
      <c r="B98" s="98" t="inlineStr">
        <is>
          <t>also, this will be a colourful game</t>
        </is>
      </c>
    </row>
    <row r="99" ht="15" customHeight="1" s="67">
      <c r="A99" s="130" t="inlineStr">
        <is>
          <t>A9</t>
        </is>
      </c>
      <c r="B99" s="98" t="inlineStr">
        <is>
          <t>[Fractional impulse] Agreed with default (floor; the fraction only matters against gravity pull)</t>
        </is>
      </c>
    </row>
    <row r="100" ht="15" customHeight="1" s="67">
      <c r="A100" s="130" t="inlineStr">
        <is>
          <t>A10</t>
        </is>
      </c>
      <c r="B100" s="98" t="inlineStr">
        <is>
          <t>[Game over with a fleet] Agreed with default (the active ship — the captain is on it)</t>
        </is>
      </c>
    </row>
    <row r="101" ht="15" customHeight="1" s="67">
      <c r="A101" s="130" t="inlineStr">
        <is>
          <t>A11</t>
        </is>
      </c>
      <c r="B101" s="98" t="inlineStr">
        <is>
          <t>[Food/water at zero] the crew mutiny and the captain gets demoted to a low class ship</t>
        </is>
      </c>
    </row>
    <row r="102" ht="15" customHeight="1" s="67">
      <c r="A102" s="130" t="inlineStr">
        <is>
          <t>A12</t>
        </is>
      </c>
      <c r="B102" s="98" t="inlineStr">
        <is>
          <t>[Peace formula] Agreed with default (victor = the side that didn't offer; X = victor's shield advantage as a fraction × 50%, floored at 0)</t>
        </is>
      </c>
    </row>
    <row r="103" ht="15" customHeight="1" s="67">
      <c r="A103" s="130" t="inlineStr">
        <is>
          <t>A13</t>
        </is>
      </c>
      <c r="B103" s="98" t="inlineStr">
        <is>
          <t>[Fear vs respect] yes ships can possibly yield, but with respect planets can be compliant, let me know if you need more logic details here</t>
        </is>
      </c>
    </row>
    <row r="104" ht="15" customHeight="1" s="67">
      <c r="A104" s="130" t="inlineStr">
        <is>
          <t>A14</t>
        </is>
      </c>
      <c r="B104" s="98" t="inlineStr">
        <is>
          <t>[Licence] Us MIT license then or an appropriate one?</t>
        </is>
      </c>
    </row>
    <row r="105" ht="15" customHeight="1" s="67">
      <c r="A105" s="130" t="inlineStr">
        <is>
          <t>A15</t>
        </is>
      </c>
      <c r="B105" s="98" t="inlineStr">
        <is>
          <t>[Pacing] Well i didnt like this Q in the first place, there is no set number of turns for these matters</t>
        </is>
      </c>
    </row>
    <row r="106" ht="15" customHeight="1" s="67">
      <c r="A106" s="130" t="inlineStr">
        <is>
          <t>A16</t>
        </is>
      </c>
      <c r="B106" s="98" t="inlineStr">
        <is>
          <t>[Black hole 7 turns] 7 is just an example, we have to do what is appropriate and what works</t>
        </is>
      </c>
    </row>
    <row r="107" ht="23.85" customHeight="1" s="67">
      <c r="A107" s="130" t="inlineStr">
        <is>
          <t>A17</t>
        </is>
      </c>
      <c r="B107" s="98" t="inlineStr">
        <is>
          <t>Agreed on the upgrade map, this should also be configurable in the ini file. hope that clears it up. Choose whatever values you deem appropriate. Point is, these numbers can be configured outside the game.</t>
        </is>
      </c>
    </row>
    <row r="108" ht="15" customHeight="1" s="67">
      <c r="A108" s="130" t="inlineStr">
        <is>
          <t>A18</t>
        </is>
      </c>
      <c r="B108" s="98" t="inlineStr">
        <is>
          <t>Agreed on mutineers.</t>
        </is>
      </c>
    </row>
    <row r="109" ht="15" customHeight="1" s="67">
      <c r="A109" s="130" t="inlineStr">
        <is>
          <t>A19</t>
        </is>
      </c>
      <c r="B109" s="98" t="inlineStr">
        <is>
          <t>if the captain has more than one ship, when mutineed then will go to one of the other ships. if no other ship available, demoted then.</t>
        </is>
      </c>
    </row>
    <row r="110" ht="15" customHeight="1" s="67">
      <c r="A110" s="130" t="inlineStr">
        <is>
          <t>A20</t>
        </is>
      </c>
      <c r="B110" s="98" t="inlineStr">
        <is>
          <t>Choose the best license for this.</t>
        </is>
      </c>
    </row>
    <row r="111" ht="15" customHeight="1" s="67">
      <c r="A111" s="133" t="inlineStr">
        <is>
          <t>A21</t>
        </is>
      </c>
      <c r="B111" s="134" t="inlineStr">
        <is>
          <t>we should show the queued orders in status.</t>
        </is>
      </c>
    </row>
    <row r="112" ht="15" customHeight="1" s="67">
      <c r="A112" s="133" t="inlineStr">
        <is>
          <t>A22</t>
        </is>
      </c>
      <c r="B112" s="134" t="inlineStr">
        <is>
          <t>when doing e.g. move +0 +10 but engine = 4 i.e. max impulse speed, it correctly moves +0 +4, but should save for the next move for next turn i.e. move +0 +6, then +0 +2... these commands should be queued. we can have a all stop command to cease further moving.</t>
        </is>
      </c>
    </row>
  </sheetData>
  <mergeCells count="1">
    <mergeCell ref="A90:B9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2026-10-25T14:25:19Z</dcterms:created>
  <dcterms:modified xmlns:dcterms="http://purl.org/dc/terms/" xmlns:xsi="http://www.w3.org/2001/XMLSchema-instance" xsi:type="dcterms:W3CDTF">2026-10-25T20:37:29Z</dcterms:modified>
  <cp:revision>0</cp:revision>
</cp:coreProperties>
</file>