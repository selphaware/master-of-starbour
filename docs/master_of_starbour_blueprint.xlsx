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4.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Index" sheetId="1" state="visible" r:id="rId3"/>
    <sheet name="1 Overview" sheetId="2" state="visible" r:id="rId4"/>
    <sheet name="2 Architecture" sheetId="3" state="visible" r:id="rId5"/>
    <sheet name="3 T1 Command" sheetId="4" state="visible" r:id="rId6"/>
    <sheet name="4 T2 Grid" sheetId="5" state="visible" r:id="rId7"/>
    <sheet name="5 T3 Output" sheetId="6" state="visible" r:id="rId8"/>
    <sheet name="5b T4 Status" sheetId="7" state="visible" r:id="rId9"/>
    <sheet name="6 World Grids" sheetId="8" state="visible" r:id="rId10"/>
    <sheet name="7 Stellar" sheetId="9" state="visible" r:id="rId11"/>
    <sheet name="8 Hazards" sheetId="10" state="visible" r:id="rId12"/>
    <sheet name="9 Ships" sheetId="11" state="visible" r:id="rId13"/>
    <sheet name="10 Captain" sheetId="12" state="visible" r:id="rId14"/>
    <sheet name="11 Items &amp; Planets" sheetId="13" state="visible" r:id="rId15"/>
    <sheet name="12 Trade &amp; Economy" sheetId="14" state="visible" r:id="rId16"/>
    <sheet name="13 Combat" sheetId="15" state="visible" r:id="rId17"/>
    <sheet name="14 Fear &amp; Respect" sheetId="16" state="visible" r:id="rId18"/>
    <sheet name="15 Config Keys" sheetId="17" state="visible" r:id="rId19"/>
    <sheet name="16 Open Questions" sheetId="18" state="visible" r:id="rId20"/>
    <sheet name="17 Decisions" sheetId="19" state="visible" r:id="rId21"/>
    <sheet name="18 Build &amp; Release" sheetId="20" state="visible" r:id="rId22"/>
    <sheet name="Source v1" sheetId="21" state="visible" r:id="rId23"/>
  </sheets>
  <definedNames>
    <definedName function="false" hidden="true" localSheetId="1" name="_xlnm._FilterDatabase" vbProcedure="false">'1 Overview'!$A$6:$F$24</definedName>
    <definedName function="false" hidden="true" localSheetId="11" name="_xlnm._FilterDatabase" vbProcedure="false">'10 Captain'!$A$6:$H$17</definedName>
    <definedName function="false" hidden="true" localSheetId="12" name="_xlnm._FilterDatabase" vbProcedure="false">'11 Items &amp; Planets'!$A$6:$H$12</definedName>
    <definedName function="false" hidden="true" localSheetId="13" name="_xlnm._FilterDatabase" vbProcedure="false">'12 Trade &amp; Economy'!$A$6:$H$17</definedName>
    <definedName function="false" hidden="true" localSheetId="14" name="_xlnm._FilterDatabase" vbProcedure="false">'13 Combat'!$A$6:$I$11</definedName>
    <definedName function="false" hidden="true" localSheetId="15" name="_xlnm._FilterDatabase" vbProcedure="false">'14 Fear &amp; Respect'!$A$7:$I$19</definedName>
    <definedName function="false" hidden="true" localSheetId="16" name="_xlnm._FilterDatabase" vbProcedure="false">'15 Config Keys'!$A$7:$K$71</definedName>
    <definedName function="false" hidden="true" localSheetId="17" name="_xlnm._FilterDatabase" vbProcedure="false">'16 Open Questions'!$A$5:$G$45</definedName>
    <definedName function="false" hidden="true" localSheetId="18" name="_xlnm._FilterDatabase" vbProcedure="false">'17 Decisions'!$A$5:$F$64</definedName>
    <definedName function="false" hidden="true" localSheetId="19" name="_xlnm._FilterDatabase" vbProcedure="false">'18 Build &amp; Release'!$A$6:$G$13</definedName>
    <definedName function="false" hidden="true" localSheetId="2" name="_xlnm._FilterDatabase" vbProcedure="false">'2 Architecture'!$A$6:$G$12</definedName>
    <definedName function="false" hidden="true" localSheetId="3" name="_xlnm._FilterDatabase" vbProcedure="false">'3 T1 Command'!$A$14:$I$37</definedName>
    <definedName function="false" hidden="true" localSheetId="4" name="_xlnm._FilterDatabase" vbProcedure="false">'4 T2 Grid'!$A$15:$I$19</definedName>
    <definedName function="false" hidden="true" localSheetId="5" name="_xlnm._FilterDatabase" vbProcedure="false">'5 T3 Output'!$A$14:$I$34</definedName>
    <definedName function="false" hidden="true" localSheetId="6" name="_xlnm._FilterDatabase" vbProcedure="false">'5b T4 Status'!$A$12:$I$20</definedName>
    <definedName function="false" hidden="true" localSheetId="7" name="_xlnm._FilterDatabase" vbProcedure="false">'6 World Grids'!$A$6:$H$10</definedName>
    <definedName function="false" hidden="true" localSheetId="8" name="_xlnm._FilterDatabase" vbProcedure="false">'7 Stellar'!$A$6:$H$10</definedName>
    <definedName function="false" hidden="true" localSheetId="9" name="_xlnm._FilterDatabase" vbProcedure="false">'8 Hazards'!$A$6:$I$17</definedName>
    <definedName function="false" hidden="true" localSheetId="10" name="_xlnm._FilterDatabase" vbProcedure="false">'9 Ships'!$A$6:$H$17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<sst xmlns="http://schemas.openxmlformats.org/spreadsheetml/2006/main" count="4292" uniqueCount="2516">
  <si>
    <t xml:space="preserve">Master of Starbour — Design Blueprint (structured v2.2)</t>
  </si>
  <si>
    <t xml:space="preserve">v2.2 · 2026-10-25 · your blueprint + chat facts (A1–A20) + your answers to Q-01…Q-37 (tab 16). Yellow = yours to fill or a calculator input. Purple 'Proposed' = Claude's placeholder awaiting your yes.</t>
  </si>
  <si>
    <t xml:space="preserve">Project</t>
  </si>
  <si>
    <t xml:space="preserve">Game</t>
  </si>
  <si>
    <t xml:space="preserve">Master of Starbour — 'Starbour' is a pun on harbour / starship; the title is won with the ultimate secret item</t>
  </si>
  <si>
    <t xml:space="preserve">Chat A1 · Ans Q-26</t>
  </si>
  <si>
    <t xml:space="preserve">Repository</t>
  </si>
  <si>
    <t xml:space="preserve">git@github.com:selphaware/master-of-starbour.git — public; code + installable; git over SSH</t>
  </si>
  <si>
    <t xml:space="preserve">Chat A2–A3, A7</t>
  </si>
  <si>
    <t xml:space="preserve">Local root</t>
  </si>
  <si>
    <t xml:space="preserve">E:\CODE\master-of-starbour</t>
  </si>
  <si>
    <t xml:space="preserve">Chat A6</t>
  </si>
  <si>
    <t xml:space="preserve">Python</t>
  </si>
  <si>
    <t xml:space="preserve">3.12 — venv MOS → E:\CODE\master-of-starbour\MOS\Scripts\python.exe</t>
  </si>
  <si>
    <t xml:space="preserve">Chat A5</t>
  </si>
  <si>
    <t xml:space="preserve">Target</t>
  </si>
  <si>
    <t xml:space="preserve">Downloadable Windows 10/11 executable (PyInstaller one-folder zip, GitHub Releases)</t>
  </si>
  <si>
    <t xml:space="preserve">Chat A3 · Ans Q-28</t>
  </si>
  <si>
    <t xml:space="preserve">Win</t>
  </si>
  <si>
    <t xml:space="preserve">Obtain the ultimate secret item → Master of Starbour: ceremony, then play carries on</t>
  </si>
  <si>
    <t xml:space="preserve">Chat A4 · Ans Q-15</t>
  </si>
  <si>
    <t xml:space="preserve">Lose</t>
  </si>
  <si>
    <t xml:space="preserve">Only when the player's active ship is destroyed; start again with a new seed. Running out of food or water is not game over — the crew mutiny and the captain is demoted to a low-class ship</t>
  </si>
  <si>
    <t xml:space="preserve">Chat A6, A10, A11</t>
  </si>
  <si>
    <t xml:space="preserve">Style</t>
  </si>
  <si>
    <t xml:space="preserve">Colourful throughout; four terminals + engine + launcher over ZeroMQ</t>
  </si>
  <si>
    <t xml:space="preserve">Chat A8 · Ans Q-18, Q-25</t>
  </si>
  <si>
    <t xml:space="preserve">Tabs &amp; progress</t>
  </si>
  <si>
    <t xml:space="preserve">Live counts from each tab's Status column. Proposed = Claude's proposal awaiting your yes — say 'agreed' or change it. 'Open · no Q' = open rows citing no question (plain fill-ins only).</t>
  </si>
  <si>
    <t xml:space="preserve">Tab</t>
  </si>
  <si>
    <t xml:space="preserve">Group</t>
  </si>
  <si>
    <t xml:space="preserve">What it holds</t>
  </si>
  <si>
    <t xml:space="preserve">Agreed</t>
  </si>
  <si>
    <t xml:space="preserve">Proposed</t>
  </si>
  <si>
    <t xml:space="preserve">Draft</t>
  </si>
  <si>
    <t xml:space="preserve">Needs detail</t>
  </si>
  <si>
    <t xml:space="preserve">Not started</t>
  </si>
  <si>
    <t xml:space="preserve">Rows</t>
  </si>
  <si>
    <t xml:space="preserve">% Agreed</t>
  </si>
  <si>
    <t xml:space="preserve">Open · no Q</t>
  </si>
  <si>
    <t xml:space="preserve">Concept</t>
  </si>
  <si>
    <t xml:space="preserve">Game type, purpose, player goals, win/lose, turn phases</t>
  </si>
  <si>
    <t xml:space="preserve">Terminals, bus, process model, message catalogue, diagram</t>
  </si>
  <si>
    <t xml:space="preserve">Terminals</t>
  </si>
  <si>
    <t xml:space="preserve">Command catalogue, prompt behaviour, order queueing</t>
  </si>
  <si>
    <t xml:space="preserve">View levels, symbol legend, overlays, refresh</t>
  </si>
  <si>
    <t xml:space="preserve">Message types, log behaviour</t>
  </si>
  <si>
    <t xml:space="preserve">Permanent status panels</t>
  </si>
  <si>
    <t xml:space="preserve">World</t>
  </si>
  <si>
    <t xml:space="preserve">Grid hierarchy, cell contents, generation rules</t>
  </si>
  <si>
    <t xml:space="preserve">Stellar types, derived quantities, buckets, calculator</t>
  </si>
  <si>
    <t xml:space="preserve">Gravity pull, shield drain, black holes, wormholes, calculator</t>
  </si>
  <si>
    <t xml:space="preserve">Entities</t>
  </si>
  <si>
    <t xml:space="preserve">Ship attributes, movement, warp curve, classes</t>
  </si>
  <si>
    <t xml:space="preserve">Captain attributes, fleet rules, endgame eligibility</t>
  </si>
  <si>
    <t xml:space="preserve">Items, element catalogue, planets</t>
  </si>
  <si>
    <t xml:space="preserve">Rules</t>
  </si>
  <si>
    <t xml:space="preserve">Currencies, trade rules, upgrade map, sources and sinks</t>
  </si>
  <si>
    <t xml:space="preserve">Combat model recommendation, outcomes, loot</t>
  </si>
  <si>
    <t xml:space="preserve">Fear / respect events, level mechanics, effects</t>
  </si>
  <si>
    <t xml:space="preserve">Config</t>
  </si>
  <si>
    <t xml:space="preserve">Config keys for controls_config.ini</t>
  </si>
  <si>
    <t xml:space="preserve">Questions</t>
  </si>
  <si>
    <t xml:space="preserve">Open design questions, answers, resolution</t>
  </si>
  <si>
    <t xml:space="preserve">—</t>
  </si>
  <si>
    <t xml:space="preserve">Decisions</t>
  </si>
  <si>
    <t xml:space="preserve">Decision log</t>
  </si>
  <si>
    <t xml:space="preserve">Delivery</t>
  </si>
  <si>
    <t xml:space="preserve">Repo, environment, packaging, distribution, build-kit files</t>
  </si>
  <si>
    <t xml:space="preserve">Source</t>
  </si>
  <si>
    <t xml:space="preserve">Original blueprint, verbatim, plus chat addendum</t>
  </si>
  <si>
    <t xml:space="preserve">Total</t>
  </si>
  <si>
    <t xml:space="preserve">Legend</t>
  </si>
  <si>
    <t xml:space="preserve">Yellow cell</t>
  </si>
  <si>
    <t xml:space="preserve">Yours to fill in or decide — or an input to a calculator (7 Stellar, 8 Hazards, 9 Ships).</t>
  </si>
  <si>
    <t xml:space="preserve">Status</t>
  </si>
  <si>
    <t xml:space="preserve">Agreed = decided by you (ready for a spec) · Proposed = Claude's proposal from your answers, awaiting your yes · Draft = from your blueprint, not yet confirmed · Needs detail = a follow-up question is open in chat · Not started = nothing decided.</t>
  </si>
  <si>
    <t xml:space="preserve">Origin</t>
  </si>
  <si>
    <t xml:space="preserve">BP rNN = your blueprint row on 'Source v1' · Chat An = your words in chat (addendum) · Ans Q-xx = your answer on tab 16 · Claude = Claude's proposal · Implied rNN = inferred from that row · Project = Project instructions.</t>
  </si>
  <si>
    <t xml:space="preserve">Open Q</t>
  </si>
  <si>
    <t xml:space="preserve">Q-xx = a row on '16 Open Questions'. Every question now has a resolution column saying where its answer went.</t>
  </si>
  <si>
    <t xml:space="preserve">Config key</t>
  </si>
  <si>
    <t xml:space="preserve">[section] key as it will appear in controls_config.ini — all on '15 Config Keys'.</t>
  </si>
  <si>
    <t xml:space="preserve">IDs</t>
  </si>
  <si>
    <t xml:space="preserve">Stable row IDs (CMD-06, HZ-02 …) cited by specs, tests and DECISIONS.md. Keep them when editing; add new rows with the next number.</t>
  </si>
  <si>
    <t xml:space="preserve">Tab colours</t>
  </si>
  <si>
    <t xml:space="preserve">Blue = concept · Teal = terminals · Purple = world · Green = entities · Orange = rules · Slate = config · Red = questions · Dark green = decisions · Black = build · Grey = source.</t>
  </si>
  <si>
    <t xml:space="preserve">1 · Overview</t>
  </si>
  <si>
    <t xml:space="preserve">What the game is, what the player is trying to do, and how a turn runs</t>
  </si>
  <si>
    <t xml:space="preserve">ID</t>
  </si>
  <si>
    <t xml:space="preserve">Topic</t>
  </si>
  <si>
    <t xml:space="preserve">Statement</t>
  </si>
  <si>
    <t xml:space="preserve">OV-01</t>
  </si>
  <si>
    <t xml:space="preserve">Format</t>
  </si>
  <si>
    <t xml:space="preserve">Text-based game played in terminals. Colourful throughout — every terminal uses colour (Rich).</t>
  </si>
  <si>
    <t xml:space="preserve">BP r3; Chat A8</t>
  </si>
  <si>
    <t xml:space="preserve">OV-02</t>
  </si>
  <si>
    <t xml:space="preserve">Turn structure</t>
  </si>
  <si>
    <t xml:space="preserve">Turn-based: the player queues any number of orders, then ends the turn; all captains' orders resolve simultaneously in the fixed phase order below.</t>
  </si>
  <si>
    <t xml:space="preserve">Q-01</t>
  </si>
  <si>
    <t xml:space="preserve">BP r4; Ans Q-01</t>
  </si>
  <si>
    <t xml:space="preserve">OV-02b</t>
  </si>
  <si>
    <t xml:space="preserve">Immediate vs queued</t>
  </si>
  <si>
    <t xml:space="preserve">Immediate (no turn needed): help, status, fleet, ship, view, orders, scan. Queued until 'end': move, warp, fire, shields, peace, escape, trade, upgrade, pickup. A second queued order of the same kind for the same ship replaces the first.</t>
  </si>
  <si>
    <t xml:space="preserve">Claude</t>
  </si>
  <si>
    <t xml:space="preserve">OV-03</t>
  </si>
  <si>
    <t xml:space="preserve">Player role</t>
  </si>
  <si>
    <t xml:space="preserve">The player is the captain of their ship.</t>
  </si>
  <si>
    <t xml:space="preserve">BP r9</t>
  </si>
  <si>
    <t xml:space="preserve">OV-04</t>
  </si>
  <si>
    <t xml:space="preserve">Exploration</t>
  </si>
  <si>
    <t xml:space="preserve">Starts with one starship and explores the universe: Universe → Galaxies → Sectors → stars / planets / ships / objects.</t>
  </si>
  <si>
    <t xml:space="preserve">BP r8</t>
  </si>
  <si>
    <t xml:space="preserve">OV-05</t>
  </si>
  <si>
    <t xml:space="preserve">Combat</t>
  </si>
  <si>
    <t xml:space="preserve">Ships (and planets) can battle each other (13 Combat).</t>
  </si>
  <si>
    <t xml:space="preserve">Q-12</t>
  </si>
  <si>
    <t xml:space="preserve">BP r10; Ans Q-21</t>
  </si>
  <si>
    <t xml:space="preserve">OV-06</t>
  </si>
  <si>
    <t xml:space="preserve">Progression</t>
  </si>
  <si>
    <t xml:space="preserve">Captains gain wealth (gold and silver), items, fear and respect.</t>
  </si>
  <si>
    <t xml:space="preserve">BP r11, r80</t>
  </si>
  <si>
    <t xml:space="preserve">OV-07</t>
  </si>
  <si>
    <t xml:space="preserve">Endgame — becoming Master of Starbour</t>
  </si>
  <si>
    <t xml:space="preserve">When respect and fear both reach the threshold (e.g. 90 of 100) and the captain holds enough gold and silver, they become eligible to find the ultimate secret item, guarded by ships in a far-away sector. Obtaining it makes them Master of Starbour: max warp, weapons, shields, engine; infinite wealth; respect and fear at maximum; all planets willing to trade.</t>
  </si>
  <si>
    <t xml:space="preserve">Q-15, Q-26</t>
  </si>
  <si>
    <t xml:space="preserve">BP r12; Ans Q-15, Q-26, Q-37</t>
  </si>
  <si>
    <t xml:space="preserve">OV-08</t>
  </si>
  <si>
    <t xml:space="preserve">Fleet</t>
  </si>
  <si>
    <t xml:space="preserve">A captain may own several ships (no limit) and switch between them from the command terminal.</t>
  </si>
  <si>
    <t xml:space="preserve">Q-13</t>
  </si>
  <si>
    <t xml:space="preserve">BP r13; Ans Q-13</t>
  </si>
  <si>
    <t xml:space="preserve">OV-09</t>
  </si>
  <si>
    <t xml:space="preserve">Win condition</t>
  </si>
  <si>
    <t xml:space="preserve">The game does not end. Mastery triggers a celebration and ceremony, then play carries on with the max powers.</t>
  </si>
  <si>
    <t xml:space="preserve">Q-16</t>
  </si>
  <si>
    <t xml:space="preserve">Chat A4</t>
  </si>
  <si>
    <t xml:space="preserve">OV-09b</t>
  </si>
  <si>
    <t xml:space="preserve">Lose condition</t>
  </si>
  <si>
    <t xml:space="preserve">Game over only when the player's active ship is destroyed (the captain is on it); the player starts again.</t>
  </si>
  <si>
    <t xml:space="preserve">Q-29</t>
  </si>
  <si>
    <t xml:space="preserve">Chat A6, A10; Ans Q-29</t>
  </si>
  <si>
    <t xml:space="preserve">OV-09c</t>
  </si>
  <si>
    <t xml:space="preserve">'Start again'</t>
  </si>
  <si>
    <t xml:space="preserve">New game = new seed; the save is deleted on game over.</t>
  </si>
  <si>
    <t xml:space="preserve">Q-33</t>
  </si>
  <si>
    <t xml:space="preserve">Ans Q-33</t>
  </si>
  <si>
    <t xml:space="preserve">OV-10</t>
  </si>
  <si>
    <t xml:space="preserve">Opponents</t>
  </si>
  <si>
    <t xml:space="preserve">Other captains are AI-controlled; they trade, battle, offer peace and progress. Count per galaxy is a config key.</t>
  </si>
  <si>
    <t xml:space="preserve">Implied r90; Claude</t>
  </si>
  <si>
    <t xml:space="preserve">OV-11</t>
  </si>
  <si>
    <t xml:space="preserve">Pacing</t>
  </si>
  <si>
    <t xml:space="preserve">No fixed turn counts. Rough feel only: a battle every 5–7 turns on average; mastery a long way off. Every number in this workbook is a placeholder tuned by playtest — 'what is appropriate and what works'.</t>
  </si>
  <si>
    <t xml:space="preserve">Q-35</t>
  </si>
  <si>
    <t xml:space="preserve">Ans Q-35; Chat A15, A16</t>
  </si>
  <si>
    <t xml:space="preserve">OV-12</t>
  </si>
  <si>
    <t xml:space="preserve">Save / load</t>
  </si>
  <si>
    <t xml:space="preserve">Autosave every turn, one slot per game, save deleted on game over. Location: next to the exe.</t>
  </si>
  <si>
    <t xml:space="preserve">Ans Q-33, Q-28</t>
  </si>
  <si>
    <t xml:space="preserve">OV-13</t>
  </si>
  <si>
    <t xml:space="preserve">Starbour</t>
  </si>
  <si>
    <t xml:space="preserve">'Starbour' is a play on harbour / starship — not the universe's name. 'Master of Starbour' is the title won with the ultimate secret item.</t>
  </si>
  <si>
    <t xml:space="preserve">Q-26</t>
  </si>
  <si>
    <t xml:space="preserve">Ans Q-26</t>
  </si>
  <si>
    <t xml:space="preserve">Turn resolution order</t>
  </si>
  <si>
    <t xml:space="preserve">Agreed as option A of Q-01: all captains' orders resolve together, in this fixed order.</t>
  </si>
  <si>
    <t xml:space="preserve">Phase</t>
  </si>
  <si>
    <t xml:space="preserve">What resolves</t>
  </si>
  <si>
    <t xml:space="preserve">TP-01</t>
  </si>
  <si>
    <t xml:space="preserve">1 Orders</t>
  </si>
  <si>
    <t xml:space="preserve">Player and AI captains queue orders; the player ends the turn.</t>
  </si>
  <si>
    <t xml:space="preserve">TP-02</t>
  </si>
  <si>
    <t xml:space="preserve">2 Movement</t>
  </si>
  <si>
    <t xml:space="preserve">Impulse and warp moves resolve (effective speed = nominal − gravity pull).</t>
  </si>
  <si>
    <t xml:space="preserve">Q-02</t>
  </si>
  <si>
    <t xml:space="preserve">Ans Q-02</t>
  </si>
  <si>
    <t xml:space="preserve">TP-03</t>
  </si>
  <si>
    <t xml:space="preserve">3 Hazards</t>
  </si>
  <si>
    <t xml:space="preserve">Gravity countdowns and shield drain apply (8 Hazards).</t>
  </si>
  <si>
    <t xml:space="preserve">Implied r65–72</t>
  </si>
  <si>
    <t xml:space="preserve">TP-04</t>
  </si>
  <si>
    <t xml:space="preserve">4 Combat</t>
  </si>
  <si>
    <t xml:space="preserve">Battles resolve one exchange per turn: destroy / escape / peace (13 Combat).</t>
  </si>
  <si>
    <t xml:space="preserve">TP-05</t>
  </si>
  <si>
    <t xml:space="preserve">5 Trade &amp; pickup</t>
  </si>
  <si>
    <t xml:space="preserve">Accepted trades settle; upgrades apply; item pickups happen.</t>
  </si>
  <si>
    <t xml:space="preserve">Ans Q-07, Q-14</t>
  </si>
  <si>
    <t xml:space="preserve">TP-06</t>
  </si>
  <si>
    <t xml:space="preserve">6 Upkeep</t>
  </si>
  <si>
    <t xml:space="preserve">Food and water −1 each; mutiny check (SUP-03); shields recharge if not in a hazard or battle.</t>
  </si>
  <si>
    <t xml:space="preserve">Q-19</t>
  </si>
  <si>
    <t xml:space="preserve">Ans Q-19; Chat A11; Claude</t>
  </si>
  <si>
    <t xml:space="preserve">TP-07</t>
  </si>
  <si>
    <t xml:space="preserve">7 Reputation</t>
  </si>
  <si>
    <t xml:space="preserve">Fear and respect deltas apply (14 Fear &amp; Respect).</t>
  </si>
  <si>
    <t xml:space="preserve">Implied r94–103</t>
  </si>
  <si>
    <t xml:space="preserve">TP-08</t>
  </si>
  <si>
    <t xml:space="preserve">8 Publish &amp; render</t>
  </si>
  <si>
    <t xml:space="preserve">turn.resolved on the bus; T2, T3 and T4 redraw once; autosave.</t>
  </si>
  <si>
    <t xml:space="preserve">Q-31</t>
  </si>
  <si>
    <t xml:space="preserve">Ans Q-31, Q-33</t>
  </si>
  <si>
    <t xml:space="preserve">2 · Architecture</t>
  </si>
  <si>
    <t xml:space="preserve">Terminals, the message bus, processes and the message catalogue</t>
  </si>
  <si>
    <t xml:space="preserve">Terminal</t>
  </si>
  <si>
    <t xml:space="preserve">Role</t>
  </si>
  <si>
    <t xml:space="preserve">Detail tab</t>
  </si>
  <si>
    <t xml:space="preserve">T1</t>
  </si>
  <si>
    <t xml:space="preserve">Command</t>
  </si>
  <si>
    <t xml:space="preserve">Player types orders, switches ships, changes the grid view, ends the turn.</t>
  </si>
  <si>
    <t xml:space="preserve">3 T1 Command</t>
  </si>
  <si>
    <t xml:space="preserve">BP r17</t>
  </si>
  <si>
    <t xml:space="preserve">T2</t>
  </si>
  <si>
    <t xml:space="preserve">Grid</t>
  </si>
  <si>
    <t xml:space="preserve">Map at Universe, Galaxy or Sector level; auto-follows the active ship, 'view' overrides.</t>
  </si>
  <si>
    <t xml:space="preserve">4 T2 Grid</t>
  </si>
  <si>
    <t xml:space="preserve">Q-17</t>
  </si>
  <si>
    <t xml:space="preserve">BP r18; Ans Q-17</t>
  </si>
  <si>
    <t xml:space="preserve">T3</t>
  </si>
  <si>
    <t xml:space="preserve">Output</t>
  </si>
  <si>
    <t xml:space="preserve">Results, reports, log.</t>
  </si>
  <si>
    <t xml:space="preserve">5 T3 Output</t>
  </si>
  <si>
    <t xml:space="preserve">BP r19</t>
  </si>
  <si>
    <t xml:space="preserve">T4</t>
  </si>
  <si>
    <t xml:space="preserve">Permanent status panel: captain, active ship, fleet, cargo.</t>
  </si>
  <si>
    <t xml:space="preserve">5b T4 Status</t>
  </si>
  <si>
    <t xml:space="preserve">Q-25</t>
  </si>
  <si>
    <t xml:space="preserve">Ans Q-25</t>
  </si>
  <si>
    <t xml:space="preserve">T0</t>
  </si>
  <si>
    <t xml:space="preserve">Engine</t>
  </si>
  <si>
    <t xml:space="preserve">Owns the game state; resolves turns; publishes state. Its own process, no window (or a hidden console).</t>
  </si>
  <si>
    <t xml:space="preserve">Q-18</t>
  </si>
  <si>
    <t xml:space="preserve">Ans Q-18</t>
  </si>
  <si>
    <t xml:space="preserve">TL</t>
  </si>
  <si>
    <t xml:space="preserve">Launcher</t>
  </si>
  <si>
    <t xml:space="preserve">Starts the engine and the four terminals; owns them; closing T1 or the launcher ends the game and kills the rest; closing T2 / T3 / T4 reopens it.</t>
  </si>
  <si>
    <t xml:space="preserve">18 Build &amp; Release</t>
  </si>
  <si>
    <t xml:space="preserve">Q-32</t>
  </si>
  <si>
    <t xml:space="preserve">Ans Q-32</t>
  </si>
  <si>
    <t xml:space="preserve">Bus &amp; processes</t>
  </si>
  <si>
    <t xml:space="preserve">Notes</t>
  </si>
  <si>
    <t xml:space="preserve">BUS-01</t>
  </si>
  <si>
    <t xml:space="preserve">Transport</t>
  </si>
  <si>
    <t xml:space="preserve">A message bus connects all processes.</t>
  </si>
  <si>
    <t xml:space="preserve">BP r21</t>
  </si>
  <si>
    <t xml:space="preserve">BUS-02</t>
  </si>
  <si>
    <t xml:space="preserve">Process model</t>
  </si>
  <si>
    <t xml:space="preserve">One process per terminal plus the engine; threads within each.</t>
  </si>
  <si>
    <t xml:space="preserve">Project fixed fact.</t>
  </si>
  <si>
    <t xml:space="preserve">BUS-03</t>
  </si>
  <si>
    <t xml:space="preserve">Technology</t>
  </si>
  <si>
    <t xml:space="preserve">ZeroMQ (pyzmq) over localhost TCP: engine PUB → terminals SUB for state; T1 PUSH → engine PULL for orders.</t>
  </si>
  <si>
    <t xml:space="preserve">Ports are config keys.</t>
  </si>
  <si>
    <t xml:space="preserve">BUS-04</t>
  </si>
  <si>
    <t xml:space="preserve">Single owner of state</t>
  </si>
  <si>
    <t xml:space="preserve">The engine process is the only writer of game state; terminals are views.</t>
  </si>
  <si>
    <t xml:space="preserve">BUS-05</t>
  </si>
  <si>
    <t xml:space="preserve">Refresh model</t>
  </si>
  <si>
    <t xml:space="preserve">Terminals redraw once per turn.resolved, full redraw, target under 0.5 s.</t>
  </si>
  <si>
    <t xml:space="preserve">Ans Q-31</t>
  </si>
  <si>
    <t xml:space="preserve">BUS-06</t>
  </si>
  <si>
    <t xml:space="preserve">Startup / shutdown</t>
  </si>
  <si>
    <t xml:space="preserve">Launcher owns child processes; 'quit' or closing T1 → engine saves, launcher terminates all children; no orphans.</t>
  </si>
  <si>
    <t xml:space="preserve">Build gates: 'orphaned processes', 'exe opens and exits'.</t>
  </si>
  <si>
    <t xml:space="preserve">BUS-07</t>
  </si>
  <si>
    <t xml:space="preserve">Snapshot vs delta</t>
  </si>
  <si>
    <t xml:space="preserve">state.updated carries a full snapshot each turn (simplest; sizes are small).</t>
  </si>
  <si>
    <t xml:space="preserve">Revisit only if redraw exceeds 0.5 s.</t>
  </si>
  <si>
    <t xml:space="preserve">Message catalogue</t>
  </si>
  <si>
    <t xml:space="preserve">Payload fields are proposals; rename freely.</t>
  </si>
  <si>
    <t xml:space="preserve">Message</t>
  </si>
  <si>
    <t xml:space="preserve">Publisher → Subscribers</t>
  </si>
  <si>
    <t xml:space="preserve">Payload (fields)</t>
  </si>
  <si>
    <t xml:space="preserve">MSG-01</t>
  </si>
  <si>
    <t xml:space="preserve">order.submitted</t>
  </si>
  <si>
    <t xml:space="preserve">T1 → Engine</t>
  </si>
  <si>
    <t xml:space="preserve">command, args, ship_id, turn_no</t>
  </si>
  <si>
    <t xml:space="preserve">MSG-02</t>
  </si>
  <si>
    <t xml:space="preserve">turn.end</t>
  </si>
  <si>
    <t xml:space="preserve">turn_no</t>
  </si>
  <si>
    <t xml:space="preserve">MSG-03</t>
  </si>
  <si>
    <t xml:space="preserve">turn.resolved</t>
  </si>
  <si>
    <t xml:space="preserve">Engine → T2, T3, T4</t>
  </si>
  <si>
    <t xml:space="preserve">turn_no, full state snapshot, events[]</t>
  </si>
  <si>
    <t xml:space="preserve">Ans Q-31; Claude</t>
  </si>
  <si>
    <t xml:space="preserve">MSG-04</t>
  </si>
  <si>
    <t xml:space="preserve">view.changed</t>
  </si>
  <si>
    <t xml:space="preserve">T1 → T2</t>
  </si>
  <si>
    <t xml:space="preserve">level (universe / galaxy / sector), focus coordinates</t>
  </si>
  <si>
    <t xml:space="preserve">MSG-05</t>
  </si>
  <si>
    <t xml:space="preserve">event.log</t>
  </si>
  <si>
    <t xml:space="preserve">Engine → T3</t>
  </si>
  <si>
    <t xml:space="preserve">type, text, severity, turn_no (also inside turn.resolved)</t>
  </si>
  <si>
    <t xml:space="preserve">MSG-06</t>
  </si>
  <si>
    <t xml:space="preserve">order.rejected</t>
  </si>
  <si>
    <t xml:space="preserve">Engine → T1, T3</t>
  </si>
  <si>
    <t xml:space="preserve">order, reason</t>
  </si>
  <si>
    <t xml:space="preserve">Q-34</t>
  </si>
  <si>
    <t xml:space="preserve">Ans Q-34</t>
  </si>
  <si>
    <t xml:space="preserve">MSG-07</t>
  </si>
  <si>
    <t xml:space="preserve">order.accepted</t>
  </si>
  <si>
    <t xml:space="preserve">Engine → T1</t>
  </si>
  <si>
    <t xml:space="preserve">order, queue position</t>
  </si>
  <si>
    <t xml:space="preserve">MSG-08</t>
  </si>
  <si>
    <t xml:space="preserve">system.shutdown</t>
  </si>
  <si>
    <t xml:space="preserve">Launcher → all</t>
  </si>
  <si>
    <t xml:space="preserve">reason</t>
  </si>
  <si>
    <t xml:space="preserve">MSG-09</t>
  </si>
  <si>
    <t xml:space="preserve">game.over / game.mastery</t>
  </si>
  <si>
    <t xml:space="preserve">Engine → all</t>
  </si>
  <si>
    <t xml:space="preserve">cause / ceremony payload</t>
  </si>
  <si>
    <t xml:space="preserve">Q-37</t>
  </si>
  <si>
    <t xml:space="preserve">Diagram — every process talks only to the bus</t>
  </si>
  <si>
    <t xml:space="preserve">ZeroMQ bus (localhost)</t>
  </si>
  <si>
    <t xml:space="preserve">▲ ▼</t>
  </si>
  <si>
    <t xml:space="preserve">T2 Grid</t>
  </si>
  <si>
    <t xml:space="preserve">T3 Output</t>
  </si>
  <si>
    <t xml:space="preserve">T4 Status</t>
  </si>
  <si>
    <t xml:space="preserve">T1 Command</t>
  </si>
  <si>
    <t xml:space="preserve">T0 Engine</t>
  </si>
  <si>
    <t xml:space="preserve">Launcher starts and owns all six processes (Q-32).</t>
  </si>
  <si>
    <t xml:space="preserve">3 · T1 Command terminal</t>
  </si>
  <si>
    <t xml:space="preserve">The input terminal: every command the player can type, and how the prompt behaves</t>
  </si>
  <si>
    <t xml:space="preserve">Purpose</t>
  </si>
  <si>
    <t xml:space="preserve">Where the player types orders, switches ships, changes the grid view and ends the turn.</t>
  </si>
  <si>
    <t xml:space="preserve">BP r17, r13, r18</t>
  </si>
  <si>
    <t xml:space="preserve">Process / module</t>
  </si>
  <si>
    <t xml:space="preserve">TBD — e.g. mos/terminals/command.py</t>
  </si>
  <si>
    <t xml:space="preserve">Template</t>
  </si>
  <si>
    <t xml:space="preserve">Input style</t>
  </si>
  <si>
    <t xml:space="preserve">Free-text command line with history and tab completion.</t>
  </si>
  <si>
    <t xml:space="preserve">Claude · Proposed</t>
  </si>
  <si>
    <t xml:space="preserve">Publishes</t>
  </si>
  <si>
    <t xml:space="preserve">order.submitted, turn.end, view.changed</t>
  </si>
  <si>
    <t xml:space="preserve">2 Architecture</t>
  </si>
  <si>
    <t xml:space="preserve">Subscribes</t>
  </si>
  <si>
    <t xml:space="preserve">order.accepted, order.rejected, turn.resolved (unlocks the prompt)</t>
  </si>
  <si>
    <t xml:space="preserve">Library</t>
  </si>
  <si>
    <t xml:space="preserve">Rich (colour output) + prompt_toolkit (input)</t>
  </si>
  <si>
    <t xml:space="preserve">Command catalogue</t>
  </si>
  <si>
    <t xml:space="preserve">Immediate = acts at once. Queued = waits for 'end'. Rename freely.</t>
  </si>
  <si>
    <t xml:space="preserve">Syntax</t>
  </si>
  <si>
    <t xml:space="preserve">What it does</t>
  </si>
  <si>
    <t xml:space="preserve">When valid</t>
  </si>
  <si>
    <t xml:space="preserve">Feedback / errors</t>
  </si>
  <si>
    <t xml:space="preserve">CMD-01</t>
  </si>
  <si>
    <t xml:space="preserve">help</t>
  </si>
  <si>
    <t xml:space="preserve">help [command]</t>
  </si>
  <si>
    <t xml:space="preserve">Lists commands, or shows one command's syntax.</t>
  </si>
  <si>
    <t xml:space="preserve">Immediate</t>
  </si>
  <si>
    <t xml:space="preserve">CMD-02</t>
  </si>
  <si>
    <t xml:space="preserve">status</t>
  </si>
  <si>
    <t xml:space="preserve">Shows the active ship's stats and the captain's wealth, fear, respect, food and water.</t>
  </si>
  <si>
    <t xml:space="preserve">Implied r75, r80</t>
  </si>
  <si>
    <t xml:space="preserve">CMD-03</t>
  </si>
  <si>
    <t xml:space="preserve">ship</t>
  </si>
  <si>
    <t xml:space="preserve">ship &lt;name | n&gt;</t>
  </si>
  <si>
    <t xml:space="preserve">Switches the active ship.</t>
  </si>
  <si>
    <t xml:space="preserve">Immediate; captain owns more than one ship</t>
  </si>
  <si>
    <t xml:space="preserve">Error if unknown</t>
  </si>
  <si>
    <t xml:space="preserve">BP r13</t>
  </si>
  <si>
    <t xml:space="preserve">CMD-04</t>
  </si>
  <si>
    <t xml:space="preserve">fleet</t>
  </si>
  <si>
    <t xml:space="preserve">Lists all owned ships, their locations and state.</t>
  </si>
  <si>
    <t xml:space="preserve">Implied r13</t>
  </si>
  <si>
    <t xml:space="preserve">CMD-05</t>
  </si>
  <si>
    <t xml:space="preserve">view</t>
  </si>
  <si>
    <t xml:space="preserve">view universe | galaxy | sector | follow</t>
  </si>
  <si>
    <t xml:space="preserve">Changes the Grid terminal level; 'follow' returns to auto-follow.</t>
  </si>
  <si>
    <t xml:space="preserve">CMD-06</t>
  </si>
  <si>
    <t xml:space="preserve">move</t>
  </si>
  <si>
    <t xml:space="preserve">move &lt;dx dy | x y&gt; [speed]</t>
  </si>
  <si>
    <t xml:space="preserve">Impulse move within the sector. speed ≤ engine_power; cells moved = floor(speed − gravity pull).</t>
  </si>
  <si>
    <t xml:space="preserve">Queued</t>
  </si>
  <si>
    <t xml:space="preserve">Reject if speed &gt; engine_power or target outside the sector</t>
  </si>
  <si>
    <t xml:space="preserve">CMD-07</t>
  </si>
  <si>
    <t xml:space="preserve">warp</t>
  </si>
  <si>
    <t xml:space="preserve">warp &lt;gx gy&gt; &lt;sx sy&gt; [factor]</t>
  </si>
  <si>
    <t xml:space="preserve">Warp to a sector (in any galaxy). factor ≤ warpcore_power; reach from the warp curve (9 Ships).</t>
  </si>
  <si>
    <t xml:space="preserve">Reject if destination beyond reach for the factor</t>
  </si>
  <si>
    <t xml:space="preserve">CMD-08</t>
  </si>
  <si>
    <t xml:space="preserve">fire</t>
  </si>
  <si>
    <t xml:space="preserve">fire torpedo | phaser &lt;target&gt;</t>
  </si>
  <si>
    <t xml:space="preserve">Attacks a ship or planet in range. Starting a fight costs respect; asks for confirmation.</t>
  </si>
  <si>
    <t xml:space="preserve">Queued; target in range</t>
  </si>
  <si>
    <t xml:space="preserve">Confirm (Q-34)</t>
  </si>
  <si>
    <t xml:space="preserve">Implied r75, r100; Ans Q-34</t>
  </si>
  <si>
    <t xml:space="preserve">CMD-09</t>
  </si>
  <si>
    <t xml:space="preserve">shields</t>
  </si>
  <si>
    <t xml:space="preserve">shields status</t>
  </si>
  <si>
    <t xml:space="preserve">Shows current / max shields. Shield power is not adjustable — it drains and recharges.</t>
  </si>
  <si>
    <t xml:space="preserve">CMD-10</t>
  </si>
  <si>
    <t xml:space="preserve">peace</t>
  </si>
  <si>
    <t xml:space="preserve">peace offer | accept | reject &lt;captain | planet&gt;</t>
  </si>
  <si>
    <t xml:space="preserve">Offers, accepts or rejects peace during a battle.</t>
  </si>
  <si>
    <t xml:space="preserve">Queued; during a battle</t>
  </si>
  <si>
    <t xml:space="preserve">Implied r99, r108</t>
  </si>
  <si>
    <t xml:space="preserve">CMD-11</t>
  </si>
  <si>
    <t xml:space="preserve">escape</t>
  </si>
  <si>
    <t xml:space="preserve">escape &lt;dx dy&gt;</t>
  </si>
  <si>
    <t xml:space="preserve">Moves out of all enemies' weapon range; succeeds if the move completes (no dice).</t>
  </si>
  <si>
    <t xml:space="preserve">CMD-12</t>
  </si>
  <si>
    <t xml:space="preserve">trade</t>
  </si>
  <si>
    <t xml:space="preserve">trade &lt;captain | planet&gt; give &lt;items&gt; for &lt;items&gt;</t>
  </si>
  <si>
    <t xml:space="preserve">Proposes a trade of items, gold or silver. 1 gold = 20 silver.</t>
  </si>
  <si>
    <t xml:space="preserve">Queued; counterparty in the same cell</t>
  </si>
  <si>
    <t xml:space="preserve">Q-14</t>
  </si>
  <si>
    <t xml:space="preserve">Ans Q-14; Claude</t>
  </si>
  <si>
    <t xml:space="preserve">CMD-13</t>
  </si>
  <si>
    <t xml:space="preserve">upgrade</t>
  </si>
  <si>
    <t xml:space="preserve">upgrade &lt;component&gt; with &lt;element&gt;</t>
  </si>
  <si>
    <t xml:space="preserve">Spends an element to improve torpedoes, phasers, shields, engine or warp core (12 Trade, upgrade map).</t>
  </si>
  <si>
    <t xml:space="preserve">Reject if the element does not improve that component</t>
  </si>
  <si>
    <t xml:space="preserve">BP r91</t>
  </si>
  <si>
    <t xml:space="preserve">CMD-14</t>
  </si>
  <si>
    <t xml:space="preserve">scan</t>
  </si>
  <si>
    <t xml:space="preserve">Reveals what is in the current cell (items) and, with fog of war on, the surrounding sector.</t>
  </si>
  <si>
    <t xml:space="preserve">Q-07, Q-30</t>
  </si>
  <si>
    <t xml:space="preserve">Ans Q-07, Q-30</t>
  </si>
  <si>
    <t xml:space="preserve">CMD-15</t>
  </si>
  <si>
    <t xml:space="preserve">pickup</t>
  </si>
  <si>
    <t xml:space="preserve">pickup &lt;item&gt;</t>
  </si>
  <si>
    <t xml:space="preserve">Picks up an item in the current cell after a scan. Items are never picked up automatically.</t>
  </si>
  <si>
    <t xml:space="preserve">Queued; item in cell and scanned</t>
  </si>
  <si>
    <t xml:space="preserve">Q-07</t>
  </si>
  <si>
    <t xml:space="preserve">Ans Q-07</t>
  </si>
  <si>
    <t xml:space="preserve">CMD-16</t>
  </si>
  <si>
    <t xml:space="preserve">orders</t>
  </si>
  <si>
    <t xml:space="preserve">orders [cancel n]</t>
  </si>
  <si>
    <t xml:space="preserve">Reviews or cancels queued orders before the turn ends.</t>
  </si>
  <si>
    <t xml:space="preserve">CMD-17</t>
  </si>
  <si>
    <t xml:space="preserve">end</t>
  </si>
  <si>
    <t xml:space="preserve">Ends the turn; all queued orders execute.</t>
  </si>
  <si>
    <t xml:space="preserve">Confirm if a hazard countdown is running and no move is queued</t>
  </si>
  <si>
    <t xml:space="preserve">Q-01, Q-34</t>
  </si>
  <si>
    <t xml:space="preserve">BP r4</t>
  </si>
  <si>
    <t xml:space="preserve">CMD-18</t>
  </si>
  <si>
    <t xml:space="preserve">quit</t>
  </si>
  <si>
    <t xml:space="preserve">Confirms, autosaves, then the launcher closes every window.</t>
  </si>
  <si>
    <t xml:space="preserve">Confirm</t>
  </si>
  <si>
    <t xml:space="preserve">Q-32, Q-34</t>
  </si>
  <si>
    <t xml:space="preserve">Ans Q-32, Q-34</t>
  </si>
  <si>
    <t xml:space="preserve">CMD-19</t>
  </si>
  <si>
    <t xml:space="preserve">new</t>
  </si>
  <si>
    <t xml:space="preserve">new [seed]</t>
  </si>
  <si>
    <t xml:space="preserve">Starts a new game (new seed). Offered after game over; also available any time with confirmation.</t>
  </si>
  <si>
    <t xml:space="preserve">CMD-20</t>
  </si>
  <si>
    <t xml:space="preserve">buy / sell</t>
  </si>
  <si>
    <t xml:space="preserve">buy &lt;item&gt; &lt;qty&gt; / sell &lt;item&gt; &lt;qty&gt;</t>
  </si>
  <si>
    <t xml:space="preserve">Buys from or sells to the planet in the current cell at its prices (shortcut for trade with a planet).</t>
  </si>
  <si>
    <t xml:space="preserve">Queued; planet in cell</t>
  </si>
  <si>
    <t xml:space="preserve">Prompt &amp; interaction</t>
  </si>
  <si>
    <t xml:space="preserve">Aspect</t>
  </si>
  <si>
    <t xml:space="preserve">Current thinking</t>
  </si>
  <si>
    <t xml:space="preserve">Example</t>
  </si>
  <si>
    <t xml:space="preserve">Edge cases</t>
  </si>
  <si>
    <t xml:space="preserve">UX-01</t>
  </si>
  <si>
    <t xml:space="preserve">Prompt format</t>
  </si>
  <si>
    <t xml:space="preserve">Turn number, active ship, queued-order count.</t>
  </si>
  <si>
    <t xml:space="preserve">[T12 · Kestrel · 2 orders] &gt;</t>
  </si>
  <si>
    <t xml:space="preserve">UX-02</t>
  </si>
  <si>
    <t xml:space="preserve">Many orders per turn</t>
  </si>
  <si>
    <t xml:space="preserve">Orders are queued, then 'end' executes them all.</t>
  </si>
  <si>
    <t xml:space="preserve">Same-kind order for the same ship replaces the earlier one (OV-02b).</t>
  </si>
  <si>
    <t xml:space="preserve">UX-03</t>
  </si>
  <si>
    <t xml:space="preserve">Error display</t>
  </si>
  <si>
    <t xml:space="preserve">Rejected orders and invalid commands show inline on T1 and are echoed to the T3 log.</t>
  </si>
  <si>
    <t xml:space="preserve">UX-04</t>
  </si>
  <si>
    <t xml:space="preserve">Confirmations</t>
  </si>
  <si>
    <t xml:space="preserve">Confirm before: starting a fight, quit, new game, ending a turn inside a hazard with no move queued.</t>
  </si>
  <si>
    <t xml:space="preserve">UX-05</t>
  </si>
  <si>
    <t xml:space="preserve">History / autocomplete</t>
  </si>
  <si>
    <t xml:space="preserve">Arrow-key history; tab completion of commands, ship, captain and planet names.</t>
  </si>
  <si>
    <t xml:space="preserve">UX-06</t>
  </si>
  <si>
    <t xml:space="preserve">Waiting for resolution</t>
  </si>
  <si>
    <t xml:space="preserve">Prompt locks after 'end' and shows a spinner until turn.resolved.</t>
  </si>
  <si>
    <t xml:space="preserve">UX-07</t>
  </si>
  <si>
    <t xml:space="preserve">Orders per ship</t>
  </si>
  <si>
    <t xml:space="preserve">Each owned ship has its own order queue; 'ship' switches which queue you are filling.</t>
  </si>
  <si>
    <t xml:space="preserve">UX-08</t>
  </si>
  <si>
    <t xml:space="preserve">Colour</t>
  </si>
  <si>
    <t xml:space="preserve">Commands, errors, warnings and confirmations each have their own colour; same palette as T2 / T3 / T4.</t>
  </si>
  <si>
    <t xml:space="preserve">Chat A8</t>
  </si>
  <si>
    <t xml:space="preserve">4 · T2 Grid terminal</t>
  </si>
  <si>
    <t xml:space="preserve">The map: levels, symbol legend, overlays and refresh</t>
  </si>
  <si>
    <t xml:space="preserve">Shows the map at Universe, Galaxy or Sector level; auto-follows the active ship, 'view' overrides.</t>
  </si>
  <si>
    <t xml:space="preserve">TBD — e.g. mos/terminals/grid.py</t>
  </si>
  <si>
    <t xml:space="preserve">turn.resolved, view.changed</t>
  </si>
  <si>
    <t xml:space="preserve">nothing (display only)</t>
  </si>
  <si>
    <t xml:space="preserve">Render library</t>
  </si>
  <si>
    <t xml:space="preserve">Rich — full-colour cells</t>
  </si>
  <si>
    <t xml:space="preserve">Chat A8 · Proposed</t>
  </si>
  <si>
    <t xml:space="preserve">Refresh</t>
  </si>
  <si>
    <t xml:space="preserve">Full redraw once per turn.resolved and on view.changed</t>
  </si>
  <si>
    <t xml:space="preserve">Fog of war</t>
  </si>
  <si>
    <t xml:space="preserve">Config key [world] fog_of_war = on | off. On: sector contents hidden until visited or scanned; galaxy / universe layout always visible.</t>
  </si>
  <si>
    <t xml:space="preserve">Ans Q-30</t>
  </si>
  <si>
    <t xml:space="preserve">View levels</t>
  </si>
  <si>
    <t xml:space="preserve">Default sizes are proposals; all three are config keys (Q-05).</t>
  </si>
  <si>
    <t xml:space="preserve">Level</t>
  </si>
  <si>
    <t xml:space="preserve">Each cell shows</t>
  </si>
  <si>
    <t xml:space="preserve">Grid size (M × N)</t>
  </si>
  <si>
    <t xml:space="preserve">Highlights</t>
  </si>
  <si>
    <t xml:space="preserve">Cell format</t>
  </si>
  <si>
    <t xml:space="preserve">VW-01</t>
  </si>
  <si>
    <t xml:space="preserve">Universe</t>
  </si>
  <si>
    <t xml:space="preserve">A galaxy or Void.</t>
  </si>
  <si>
    <t xml:space="preserve">8 × 8 galaxies</t>
  </si>
  <si>
    <t xml:space="preserve">Galaxy containing the active ship</t>
  </si>
  <si>
    <t xml:space="preserve">2 chars + colour</t>
  </si>
  <si>
    <t xml:space="preserve">Q-05</t>
  </si>
  <si>
    <t xml:space="preserve">BP r35–36; Claude</t>
  </si>
  <si>
    <t xml:space="preserve">VW-02</t>
  </si>
  <si>
    <t xml:space="preserve">Galaxy</t>
  </si>
  <si>
    <t xml:space="preserve">A sector or Void.</t>
  </si>
  <si>
    <t xml:space="preserve">16 × 16 sectors</t>
  </si>
  <si>
    <t xml:space="preserve">Sector containing the active ship; sectors with known hazards</t>
  </si>
  <si>
    <t xml:space="preserve">BP r39–40; Claude</t>
  </si>
  <si>
    <t xml:space="preserve">VW-03</t>
  </si>
  <si>
    <t xml:space="preserve">Sector</t>
  </si>
  <si>
    <t xml:space="preserve">A star / black hole / neutron star / planet, items, ships, or Void.</t>
  </si>
  <si>
    <t xml:space="preserve">24 × 24 cells</t>
  </si>
  <si>
    <t xml:space="preserve">Active ship; owned ships; enemy ships; hazard cells</t>
  </si>
  <si>
    <t xml:space="preserve">Q-05, Q-06</t>
  </si>
  <si>
    <t xml:space="preserve">BP r43–44; Claude</t>
  </si>
  <si>
    <t xml:space="preserve">Symbol legend</t>
  </si>
  <si>
    <t xml:space="preserve">Glyphs are proposals. Star colours follow the real stellar sequence from temperature (7 Stellar).</t>
  </si>
  <si>
    <t xml:space="preserve">Object</t>
  </si>
  <si>
    <t xml:space="preserve">Glyph</t>
  </si>
  <si>
    <t xml:space="preserve">Colour rule</t>
  </si>
  <si>
    <t xml:space="preserve">SYM-01</t>
  </si>
  <si>
    <t xml:space="preserve">Void</t>
  </si>
  <si>
    <t xml:space="preserve">·</t>
  </si>
  <si>
    <t xml:space="preserve">dark grey</t>
  </si>
  <si>
    <t xml:space="preserve">SYM-02</t>
  </si>
  <si>
    <t xml:space="preserve">Galaxy (universe view)</t>
  </si>
  <si>
    <t xml:space="preserve">◎</t>
  </si>
  <si>
    <t xml:space="preserve">white</t>
  </si>
  <si>
    <t xml:space="preserve">SYM-03</t>
  </si>
  <si>
    <t xml:space="preserve">Sector (galaxy view)</t>
  </si>
  <si>
    <t xml:space="preserve">▪</t>
  </si>
  <si>
    <t xml:space="preserve">grey; cyan if visited</t>
  </si>
  <si>
    <t xml:space="preserve">Q-30</t>
  </si>
  <si>
    <t xml:space="preserve">SYM-04</t>
  </si>
  <si>
    <t xml:space="preserve">Star</t>
  </si>
  <si>
    <t xml:space="preserve">★</t>
  </si>
  <si>
    <t xml:space="preserve">by temperature</t>
  </si>
  <si>
    <t xml:space="preserve">red &lt; 3 700 K · orange &lt; 5 200 · yellow &lt; 6 000 · yellow-white &lt; 7 500 · white &lt; 10 000 · blue-white &lt; 30 000 · blue above</t>
  </si>
  <si>
    <t xml:space="preserve">Thresholds are config keys</t>
  </si>
  <si>
    <t xml:space="preserve">Q-10</t>
  </si>
  <si>
    <t xml:space="preserve">BP r53–55, r111; Claude</t>
  </si>
  <si>
    <t xml:space="preserve">SYM-05</t>
  </si>
  <si>
    <t xml:space="preserve">Neutron star</t>
  </si>
  <si>
    <t xml:space="preserve">✦</t>
  </si>
  <si>
    <t xml:space="preserve">magenta</t>
  </si>
  <si>
    <t xml:space="preserve">Pulls across the sector, weaker than a black hole</t>
  </si>
  <si>
    <t xml:space="preserve">Q-09</t>
  </si>
  <si>
    <t xml:space="preserve">Ans Q-09</t>
  </si>
  <si>
    <t xml:space="preserve">SYM-06</t>
  </si>
  <si>
    <t xml:space="preserve">Black hole</t>
  </si>
  <si>
    <t xml:space="preserve">●</t>
  </si>
  <si>
    <t xml:space="preserve">bright red</t>
  </si>
  <si>
    <t xml:space="preserve">Whole-sector hazard</t>
  </si>
  <si>
    <t xml:space="preserve">SYM-07</t>
  </si>
  <si>
    <t xml:space="preserve">Wormhole</t>
  </si>
  <si>
    <t xml:space="preserve">◉</t>
  </si>
  <si>
    <t xml:space="preserve">purple</t>
  </si>
  <si>
    <t xml:space="preserve">A black hole with a fixed partner</t>
  </si>
  <si>
    <t xml:space="preserve">Q-11</t>
  </si>
  <si>
    <t xml:space="preserve">Ans Q-11</t>
  </si>
  <si>
    <t xml:space="preserve">SYM-08</t>
  </si>
  <si>
    <t xml:space="preserve">Planet</t>
  </si>
  <si>
    <t xml:space="preserve">○</t>
  </si>
  <si>
    <t xml:space="preserve">green</t>
  </si>
  <si>
    <t xml:space="preserve">SYM-09</t>
  </si>
  <si>
    <t xml:space="preserve">Item (normal / special)</t>
  </si>
  <si>
    <t xml:space="preserve">? / ✧</t>
  </si>
  <si>
    <t xml:space="preserve">yellow / bright yellow</t>
  </si>
  <si>
    <t xml:space="preserve">Shown only after a scan when fog of war is on</t>
  </si>
  <si>
    <t xml:space="preserve">SYM-10</t>
  </si>
  <si>
    <t xml:space="preserve">Active ship (player)</t>
  </si>
  <si>
    <t xml:space="preserve">▲</t>
  </si>
  <si>
    <t xml:space="preserve">bright cyan</t>
  </si>
  <si>
    <t xml:space="preserve">SYM-11</t>
  </si>
  <si>
    <t xml:space="preserve">Other owned ship</t>
  </si>
  <si>
    <t xml:space="preserve">△</t>
  </si>
  <si>
    <t xml:space="preserve">cyan</t>
  </si>
  <si>
    <t xml:space="preserve">SYM-12</t>
  </si>
  <si>
    <t xml:space="preserve">AI captain's ship</t>
  </si>
  <si>
    <t xml:space="preserve">▼</t>
  </si>
  <si>
    <t xml:space="preserve">orange; red when in battle with you</t>
  </si>
  <si>
    <t xml:space="preserve">SYM-13</t>
  </si>
  <si>
    <t xml:space="preserve">Binary / triple star</t>
  </si>
  <si>
    <t xml:space="preserve">★★</t>
  </si>
  <si>
    <t xml:space="preserve">each by its own temperature</t>
  </si>
  <si>
    <t xml:space="preserve">Stars are always in separate cells (Q-06); a system = stars in adjacent cells</t>
  </si>
  <si>
    <t xml:space="preserve">Q-06</t>
  </si>
  <si>
    <t xml:space="preserve">Ans Q-06</t>
  </si>
  <si>
    <t xml:space="preserve">SYM-14</t>
  </si>
  <si>
    <t xml:space="preserve">Several things in one cell</t>
  </si>
  <si>
    <t xml:space="preserve">ship glyph wins</t>
  </si>
  <si>
    <t xml:space="preserve">Priority: active ship &gt; other ship &gt; item &gt; terrain</t>
  </si>
  <si>
    <t xml:space="preserve">Only one star / planet / hole per cell</t>
  </si>
  <si>
    <t xml:space="preserve">Ans Q-06; Claude</t>
  </si>
  <si>
    <t xml:space="preserve">Overlays &amp; behaviour</t>
  </si>
  <si>
    <t xml:space="preserve">GRD-01</t>
  </si>
  <si>
    <t xml:space="preserve">Coordinates</t>
  </si>
  <si>
    <t xml:space="preserve">Zero-based x y, column labels along the top, row labels down the side; commands use the same numbers.</t>
  </si>
  <si>
    <t xml:space="preserve">move 12 7</t>
  </si>
  <si>
    <t xml:space="preserve">GRD-02</t>
  </si>
  <si>
    <t xml:space="preserve">Level switching</t>
  </si>
  <si>
    <t xml:space="preserve">Auto-follows the active ship (sector view); 'view' overrides until 'view follow'.</t>
  </si>
  <si>
    <t xml:space="preserve">Ans Q-17</t>
  </si>
  <si>
    <t xml:space="preserve">GRD-03</t>
  </si>
  <si>
    <t xml:space="preserve">Hazard overlay</t>
  </si>
  <si>
    <t xml:space="preserve">Cells within pull range are tinted; the countdown (turns until pulled in) is shown next to the ship.</t>
  </si>
  <si>
    <t xml:space="preserve">GRD-04</t>
  </si>
  <si>
    <t xml:space="preserve">Config on / off (see header).</t>
  </si>
  <si>
    <t xml:space="preserve">GRD-05</t>
  </si>
  <si>
    <t xml:space="preserve">Viewport</t>
  </si>
  <si>
    <t xml:space="preserve">Grid is sized to fit the window at the default sizes; larger configs scroll centred on the ship.</t>
  </si>
  <si>
    <t xml:space="preserve">GRD-06</t>
  </si>
  <si>
    <t xml:space="preserve">Refresh rule</t>
  </si>
  <si>
    <t xml:space="preserve">Full redraw once per turn.resolved.</t>
  </si>
  <si>
    <t xml:space="preserve">GRD-07</t>
  </si>
  <si>
    <t xml:space="preserve">Header line</t>
  </si>
  <si>
    <t xml:space="preserve">Level · galaxy / sector coordinates · turn number · fog on/off.</t>
  </si>
  <si>
    <t xml:space="preserve">GRD-08</t>
  </si>
  <si>
    <t xml:space="preserve">Target marker</t>
  </si>
  <si>
    <t xml:space="preserve">Highlights the ship or planet named in the last fire / trade order.</t>
  </si>
  <si>
    <t xml:space="preserve">5 · T3 Output terminal</t>
  </si>
  <si>
    <t xml:space="preserve">Results, reports and the event log</t>
  </si>
  <si>
    <t xml:space="preserve">Shows results, reports and information — the event log.</t>
  </si>
  <si>
    <t xml:space="preserve">TBD — e.g. mos/terminals/output.py</t>
  </si>
  <si>
    <t xml:space="preserve">turn.resolved, event.log, order.rejected</t>
  </si>
  <si>
    <t xml:space="preserve">Rich — colour per severity</t>
  </si>
  <si>
    <t xml:space="preserve">Scrollback</t>
  </si>
  <si>
    <t xml:space="preserve">Last 500 lines kept; grouped by phase within a turn</t>
  </si>
  <si>
    <t xml:space="preserve">Message types</t>
  </si>
  <si>
    <t xml:space="preserve">'Example line' is where you write what it should actually look like.</t>
  </si>
  <si>
    <t xml:space="preserve">Message type</t>
  </si>
  <si>
    <t xml:space="preserve">Triggered by</t>
  </si>
  <si>
    <t xml:space="preserve">Content (fields)</t>
  </si>
  <si>
    <t xml:space="preserve">Example line</t>
  </si>
  <si>
    <t xml:space="preserve">Severity / colour</t>
  </si>
  <si>
    <t xml:space="preserve">OUT-01</t>
  </si>
  <si>
    <t xml:space="preserve">Turn summary</t>
  </si>
  <si>
    <t xml:space="preserve">Turn resolved</t>
  </si>
  <si>
    <t xml:space="preserve">turn no, orders executed, notable events</t>
  </si>
  <si>
    <t xml:space="preserve">TBD</t>
  </si>
  <si>
    <t xml:space="preserve">Info</t>
  </si>
  <si>
    <t xml:space="preserve">Implied r4</t>
  </si>
  <si>
    <t xml:space="preserve">OUT-02</t>
  </si>
  <si>
    <t xml:space="preserve">Movement result</t>
  </si>
  <si>
    <t xml:space="preserve">Move / warp resolved</t>
  </si>
  <si>
    <t xml:space="preserve">ship, from, to, speed / factor, pull netted</t>
  </si>
  <si>
    <t xml:space="preserve">OUT-03</t>
  </si>
  <si>
    <t xml:space="preserve">Hazard warning</t>
  </si>
  <si>
    <t xml:space="preserve">Ship within pull range</t>
  </si>
  <si>
    <t xml:space="preserve">object, pull, turns until pulled in, shield drain this turn</t>
  </si>
  <si>
    <t xml:space="preserve">Warning (yellow)</t>
  </si>
  <si>
    <t xml:space="preserve">OUT-04</t>
  </si>
  <si>
    <t xml:space="preserve">Combat report</t>
  </si>
  <si>
    <t xml:space="preserve">Battle exchange resolved</t>
  </si>
  <si>
    <t xml:space="preserve">attacker, defender, weapon, hit / miss, damage, shields left</t>
  </si>
  <si>
    <t xml:space="preserve">Alert (red)</t>
  </si>
  <si>
    <t xml:space="preserve">OUT-05</t>
  </si>
  <si>
    <t xml:space="preserve">Peace / escape</t>
  </si>
  <si>
    <t xml:space="preserve">Peace offered / accepted / rejected; escape attempted</t>
  </si>
  <si>
    <t xml:space="preserve">parties, result, X% transferred</t>
  </si>
  <si>
    <t xml:space="preserve">Alert</t>
  </si>
  <si>
    <t xml:space="preserve">Implied r107–108</t>
  </si>
  <si>
    <t xml:space="preserve">OUT-06</t>
  </si>
  <si>
    <t xml:space="preserve">Loot acquired</t>
  </si>
  <si>
    <t xml:space="preserve">Opponent destroyed, or peace settlement</t>
  </si>
  <si>
    <t xml:space="preserve">items, gold, silver, stat gains</t>
  </si>
  <si>
    <t xml:space="preserve">Info (green)</t>
  </si>
  <si>
    <t xml:space="preserve">Implied r106</t>
  </si>
  <si>
    <t xml:space="preserve">OUT-07</t>
  </si>
  <si>
    <t xml:space="preserve">Trade result</t>
  </si>
  <si>
    <t xml:space="preserve">Trade / buy / sell accepted or rejected</t>
  </si>
  <si>
    <t xml:space="preserve">counterparty, given, received</t>
  </si>
  <si>
    <t xml:space="preserve">Ans Q-14</t>
  </si>
  <si>
    <t xml:space="preserve">OUT-08</t>
  </si>
  <si>
    <t xml:space="preserve">Upgrade applied</t>
  </si>
  <si>
    <t xml:space="preserve">Element used on a component</t>
  </si>
  <si>
    <t xml:space="preserve">component, before → after</t>
  </si>
  <si>
    <t xml:space="preserve">Implied r91</t>
  </si>
  <si>
    <t xml:space="preserve">OUT-09</t>
  </si>
  <si>
    <t xml:space="preserve">Fear / respect change</t>
  </si>
  <si>
    <t xml:space="preserve">Any control event</t>
  </si>
  <si>
    <t xml:space="preserve">event, Δ fear, Δ respect, new levels</t>
  </si>
  <si>
    <t xml:space="preserve">OUT-10</t>
  </si>
  <si>
    <t xml:space="preserve">Scan result / item found</t>
  </si>
  <si>
    <t xml:space="preserve">scan; pickup</t>
  </si>
  <si>
    <t xml:space="preserve">items in cell, hazards nearby</t>
  </si>
  <si>
    <t xml:space="preserve">OUT-11</t>
  </si>
  <si>
    <t xml:space="preserve">Ship lost / fleet change</t>
  </si>
  <si>
    <t xml:space="preserve">Ship destroyed, acquired or switched</t>
  </si>
  <si>
    <t xml:space="preserve">ship, cause</t>
  </si>
  <si>
    <t xml:space="preserve">OUT-12</t>
  </si>
  <si>
    <t xml:space="preserve">Endgame eligibility</t>
  </si>
  <si>
    <t xml:space="preserve">Thresholds reached</t>
  </si>
  <si>
    <t xml:space="preserve">which thresholds; where the guarded sector is</t>
  </si>
  <si>
    <t xml:space="preserve">Highlight</t>
  </si>
  <si>
    <t xml:space="preserve">Q-15</t>
  </si>
  <si>
    <t xml:space="preserve">Ans Q-15</t>
  </si>
  <si>
    <t xml:space="preserve">OUT-13</t>
  </si>
  <si>
    <t xml:space="preserve">Invalid command / rejected order</t>
  </si>
  <si>
    <t xml:space="preserve">Bad input, impossible order</t>
  </si>
  <si>
    <t xml:space="preserve">message, reason (echo of T1)</t>
  </si>
  <si>
    <t xml:space="preserve">Error</t>
  </si>
  <si>
    <t xml:space="preserve">OUT-14</t>
  </si>
  <si>
    <t xml:space="preserve">System</t>
  </si>
  <si>
    <t xml:space="preserve">Bus connected, saved, AI thinking, shutdown</t>
  </si>
  <si>
    <t xml:space="preserve">message</t>
  </si>
  <si>
    <t xml:space="preserve">Muted</t>
  </si>
  <si>
    <t xml:space="preserve">OUT-15</t>
  </si>
  <si>
    <t xml:space="preserve">Mastery ceremony</t>
  </si>
  <si>
    <t xml:space="preserve">Ultimate item obtained</t>
  </si>
  <si>
    <t xml:space="preserve">fireworks animation, big ASCII-art title, stats maxed, planets open</t>
  </si>
  <si>
    <t xml:space="preserve">Highlight (full colour)</t>
  </si>
  <si>
    <t xml:space="preserve">Ans Q-37</t>
  </si>
  <si>
    <t xml:space="preserve">OUT-16</t>
  </si>
  <si>
    <t xml:space="preserve">Game over</t>
  </si>
  <si>
    <t xml:space="preserve">Player's ship destroyed</t>
  </si>
  <si>
    <t xml:space="preserve">cause, turn reached, run summary, 'new' to start again</t>
  </si>
  <si>
    <t xml:space="preserve">Ans Q-29</t>
  </si>
  <si>
    <t xml:space="preserve">OUT-17</t>
  </si>
  <si>
    <t xml:space="preserve">Supplies warning</t>
  </si>
  <si>
    <t xml:space="preserve">Food or water ≤ warn_turns, or at 0</t>
  </si>
  <si>
    <t xml:space="preserve">turns left, turns until mutiny</t>
  </si>
  <si>
    <t xml:space="preserve">Warning</t>
  </si>
  <si>
    <t xml:space="preserve">Ans Q-19; Claude</t>
  </si>
  <si>
    <t xml:space="preserve">OUT-18</t>
  </si>
  <si>
    <t xml:space="preserve">Mutiny</t>
  </si>
  <si>
    <t xml:space="preserve">Food or water at 0 for mutiny_turns_at_zero turns</t>
  </si>
  <si>
    <t xml:space="preserve">ship lost; moved to &lt;ship&gt; or demoted to a Kestrel; supplies given; fear change</t>
  </si>
  <si>
    <t xml:space="preserve">Chat A11, A19</t>
  </si>
  <si>
    <t xml:space="preserve">Behaviour</t>
  </si>
  <si>
    <t xml:space="preserve">OB-01</t>
  </si>
  <si>
    <t xml:space="preserve">Verbosity</t>
  </si>
  <si>
    <t xml:space="preserve">Normal by default; 'verbose' shows AI captains' events elsewhere in the galaxy.</t>
  </si>
  <si>
    <t xml:space="preserve">OB-02</t>
  </si>
  <si>
    <t xml:space="preserve">History</t>
  </si>
  <si>
    <t xml:space="preserve">500 lines; grouped by phase within a turn.</t>
  </si>
  <si>
    <t xml:space="preserve">OB-03</t>
  </si>
  <si>
    <t xml:space="preserve">Styling</t>
  </si>
  <si>
    <t xml:space="preserve">Colour per severity; same palette as T2 / T4.</t>
  </si>
  <si>
    <t xml:space="preserve">OB-04</t>
  </si>
  <si>
    <t xml:space="preserve">Order within a turn</t>
  </si>
  <si>
    <t xml:space="preserve">Grouped by phase (movement → hazards → combat → trade → upkeep → reputation).</t>
  </si>
  <si>
    <t xml:space="preserve">Ans Q-01</t>
  </si>
  <si>
    <t xml:space="preserve">5b · T4 Status terminal</t>
  </si>
  <si>
    <t xml:space="preserve">The permanent status panel agreed in Q-25</t>
  </si>
  <si>
    <t xml:space="preserve">Always-visible state so T3 can stay a pure log: captain, active ship, fleet, cargo, supplies.</t>
  </si>
  <si>
    <t xml:space="preserve">TBD — e.g. mos/terminals/status.py</t>
  </si>
  <si>
    <t xml:space="preserve">Rich panels / tables, colour-coded bars</t>
  </si>
  <si>
    <t xml:space="preserve">Panels</t>
  </si>
  <si>
    <t xml:space="preserve">Panel</t>
  </si>
  <si>
    <t xml:space="preserve">Shows</t>
  </si>
  <si>
    <t xml:space="preserve">Updates when</t>
  </si>
  <si>
    <t xml:space="preserve">Position / size</t>
  </si>
  <si>
    <t xml:space="preserve">PNL-01</t>
  </si>
  <si>
    <t xml:space="preserve">Captain</t>
  </si>
  <si>
    <t xml:space="preserve">name, gold, silver, fear (0–100 bar), respect (0–100 bar), eligibility for the ultimate item</t>
  </si>
  <si>
    <t xml:space="preserve">top</t>
  </si>
  <si>
    <t xml:space="preserve">Ans Q-15, Q-25</t>
  </si>
  <si>
    <t xml:space="preserve">PNL-02</t>
  </si>
  <si>
    <t xml:space="preserve">Active ship</t>
  </si>
  <si>
    <t xml:space="preserve">name, class, torpedoes (count), phasers (0–10), shields current / max, engine (0–10), warp core (0–10), position</t>
  </si>
  <si>
    <t xml:space="preserve">middle</t>
  </si>
  <si>
    <t xml:space="preserve">Ans Q-25; Claude</t>
  </si>
  <si>
    <t xml:space="preserve">PNL-03</t>
  </si>
  <si>
    <t xml:space="preserve">Supplies</t>
  </si>
  <si>
    <t xml:space="preserve">food, water (turns remaining), colour-coded warning, mutiny countdown when at 0</t>
  </si>
  <si>
    <t xml:space="preserve">Ans Q-19; Chat A11</t>
  </si>
  <si>
    <t xml:space="preserve">PNL-04</t>
  </si>
  <si>
    <t xml:space="preserve">Cargo</t>
  </si>
  <si>
    <t xml:space="preserve">elements &amp; compounds held, special items</t>
  </si>
  <si>
    <t xml:space="preserve">lower</t>
  </si>
  <si>
    <t xml:space="preserve">Implied r83</t>
  </si>
  <si>
    <t xml:space="preserve">PNL-05</t>
  </si>
  <si>
    <t xml:space="preserve">every owned ship: name, location, shields, orders queued</t>
  </si>
  <si>
    <t xml:space="preserve">bottom</t>
  </si>
  <si>
    <t xml:space="preserve">Ans Q-13</t>
  </si>
  <si>
    <t xml:space="preserve">PNL-06</t>
  </si>
  <si>
    <t xml:space="preserve">Hazard / battle</t>
  </si>
  <si>
    <t xml:space="preserve">current pull, countdown, enemies in range</t>
  </si>
  <si>
    <t xml:space="preserve">side</t>
  </si>
  <si>
    <t xml:space="preserve">Only when relevant</t>
  </si>
  <si>
    <t xml:space="preserve">Q-02, Q-12</t>
  </si>
  <si>
    <t xml:space="preserve">6 · World grids</t>
  </si>
  <si>
    <t xml:space="preserve">Universe → Galaxy → Sector, sparse storage, seeded generation</t>
  </si>
  <si>
    <t xml:space="preserve">Grid hierarchy</t>
  </si>
  <si>
    <t xml:space="preserve">Is a grid of</t>
  </si>
  <si>
    <t xml:space="preserve">Each cell holds</t>
  </si>
  <si>
    <t xml:space="preserve">Size (M × N)</t>
  </si>
  <si>
    <t xml:space="preserve">WG-00</t>
  </si>
  <si>
    <t xml:space="preserve">GeneralGrid</t>
  </si>
  <si>
    <t xml:space="preserve">— (base class)</t>
  </si>
  <si>
    <t xml:space="preserve">Sparse: a dict keyed by (x, y) → cell contents; empty = Void. Bounds M × N are properties.</t>
  </si>
  <si>
    <t xml:space="preserve">n/a</t>
  </si>
  <si>
    <t xml:space="preserve">Q-04</t>
  </si>
  <si>
    <t xml:space="preserve">BP r30–32; Ans Q-04</t>
  </si>
  <si>
    <t xml:space="preserve">WG-01</t>
  </si>
  <si>
    <t xml:space="preserve">Galaxies</t>
  </si>
  <si>
    <t xml:space="preserve">A Galaxy or Void.</t>
  </si>
  <si>
    <t xml:space="preserve">8 × 8 (config)</t>
  </si>
  <si>
    <t xml:space="preserve">BP r34–36; Claude</t>
  </si>
  <si>
    <t xml:space="preserve">WG-02</t>
  </si>
  <si>
    <t xml:space="preserve">Sectors</t>
  </si>
  <si>
    <t xml:space="preserve">A Sector or Void.</t>
  </si>
  <si>
    <t xml:space="preserve">16 × 16 (config)</t>
  </si>
  <si>
    <t xml:space="preserve">BP r38–40; Claude</t>
  </si>
  <si>
    <t xml:space="preserve">WG-03</t>
  </si>
  <si>
    <t xml:space="preserve">Cells</t>
  </si>
  <si>
    <t xml:space="preserve">At most one terrain object (star, black hole, neutron star, planet) per cell; any number of items and ships.</t>
  </si>
  <si>
    <t xml:space="preserve">24 × 24 (config)</t>
  </si>
  <si>
    <t xml:space="preserve">BP r42–44; Ans Q-06</t>
  </si>
  <si>
    <t xml:space="preserve">Generation rules</t>
  </si>
  <si>
    <t xml:space="preserve">Rule</t>
  </si>
  <si>
    <t xml:space="preserve">SP-01</t>
  </si>
  <si>
    <t xml:space="preserve">Seed</t>
  </si>
  <si>
    <t xml:space="preserve">Everything is generated from one seed; the same seed gives the same universe.</t>
  </si>
  <si>
    <t xml:space="preserve">Wormhole pairs fixed at seeding.</t>
  </si>
  <si>
    <t xml:space="preserve">[world] seed</t>
  </si>
  <si>
    <t xml:space="preserve">Q-08</t>
  </si>
  <si>
    <t xml:space="preserve">Ans Q-08, Q-11</t>
  </si>
  <si>
    <t xml:space="preserve">SP-02</t>
  </si>
  <si>
    <t xml:space="preserve">Star systems</t>
  </si>
  <si>
    <t xml:space="preserve">One star per cell; binary / triple systems are stars in adjacent cells.</t>
  </si>
  <si>
    <t xml:space="preserve">[world] multi_star_pct</t>
  </si>
  <si>
    <t xml:space="preserve">SP-03</t>
  </si>
  <si>
    <t xml:space="preserve">Item density</t>
  </si>
  <si>
    <t xml:space="preserve">About 10 special items and 100 normal items per galaxy.</t>
  </si>
  <si>
    <t xml:space="preserve">[world] special_items_per_galaxy = 10, normal_items_per_galaxy = 100</t>
  </si>
  <si>
    <t xml:space="preserve">SP-04</t>
  </si>
  <si>
    <t xml:space="preserve">Planets</t>
  </si>
  <si>
    <t xml:space="preserve">Planets sit in a cell adjacent to a star; 0–3 per system.</t>
  </si>
  <si>
    <t xml:space="preserve">[world] planets_per_system_max = 3</t>
  </si>
  <si>
    <t xml:space="preserve">SP-05</t>
  </si>
  <si>
    <t xml:space="preserve">Starting position</t>
  </si>
  <si>
    <t xml:space="preserve">Player starts in a sector with a planet and no black hole or neutron star.</t>
  </si>
  <si>
    <t xml:space="preserve">[world] safe_start = true</t>
  </si>
  <si>
    <t xml:space="preserve">SP-06</t>
  </si>
  <si>
    <t xml:space="preserve">AI captains</t>
  </si>
  <si>
    <t xml:space="preserve">3 AI captains per galaxy, placed in random safe sectors.</t>
  </si>
  <si>
    <t xml:space="preserve">[world] ai_captains_per_galaxy = 3</t>
  </si>
  <si>
    <t xml:space="preserve">SP-07</t>
  </si>
  <si>
    <t xml:space="preserve">Sector density</t>
  </si>
  <si>
    <t xml:space="preserve">Per sector: 0–3 stars, 0–1 black hole or neutron star (never with the player's start), items per SP-03.</t>
  </si>
  <si>
    <t xml:space="preserve">[world] *</t>
  </si>
  <si>
    <t xml:space="preserve">SP-08</t>
  </si>
  <si>
    <t xml:space="preserve">Ultimate item</t>
  </si>
  <si>
    <t xml:space="preserve">Placed at eligibility time in a sector at least half the universe diameter from the captain, guarded by ships.</t>
  </si>
  <si>
    <t xml:space="preserve">[endgame] guard_ships = 4</t>
  </si>
  <si>
    <t xml:space="preserve">7 · Stellar objects</t>
  </si>
  <si>
    <t xml:space="preserve">Types, attributes, and the energy → temperature → colour chain with a live calculator</t>
  </si>
  <si>
    <t xml:space="preserve">Types</t>
  </si>
  <si>
    <t xml:space="preserve">Type</t>
  </si>
  <si>
    <t xml:space="preserve">Attributes</t>
  </si>
  <si>
    <t xml:space="preserve">ST-01</t>
  </si>
  <si>
    <t xml:space="preserve">radius, base_energy, mass</t>
  </si>
  <si>
    <t xml:space="preserve">Pull and shield drain in its own cell only. Fatal if the ship stays.</t>
  </si>
  <si>
    <t xml:space="preserve">BP r49, r51; Ans Q-02</t>
  </si>
  <si>
    <t xml:space="preserve">ST-02</t>
  </si>
  <si>
    <t xml:space="preserve">mass (lower than a black hole), radius</t>
  </si>
  <si>
    <t xml:space="preserve">Like a black hole but weaker pull: pulls across the sector; fatal if pulled in; no wormhole; no shield drain.</t>
  </si>
  <si>
    <t xml:space="preserve">[stellar] neutron_mass</t>
  </si>
  <si>
    <t xml:space="preserve">Ans Q-09; Claude</t>
  </si>
  <si>
    <t xml:space="preserve">ST-03</t>
  </si>
  <si>
    <t xml:space="preserve">mass (very high), radius, wormhole (bool)</t>
  </si>
  <si>
    <t xml:space="preserve">Pulls across the whole sector; a ship may lack the engine power to escape (8 Hazards calculator).</t>
  </si>
  <si>
    <t xml:space="preserve">[stellar] blackhole_mass</t>
  </si>
  <si>
    <t xml:space="preserve">BP r60–62; Ans Q-02</t>
  </si>
  <si>
    <t xml:space="preserve">ST-04</t>
  </si>
  <si>
    <t xml:space="preserve">Black hole with a fixed partner (set at seeding)</t>
  </si>
  <si>
    <t xml:space="preserve">Exit can be in the same or another galaxy; the ship survives the crossing; pulled in again if it stays.</t>
  </si>
  <si>
    <t xml:space="preserve">Derived quantities</t>
  </si>
  <si>
    <t xml:space="preserve">Quantity</t>
  </si>
  <si>
    <t xml:space="preserve">Formula</t>
  </si>
  <si>
    <t xml:space="preserve">DQ-01</t>
  </si>
  <si>
    <t xml:space="preserve">Volume</t>
  </si>
  <si>
    <t xml:space="preserve">volume = 4/3 · π · radius³</t>
  </si>
  <si>
    <t xml:space="preserve">Ans Q-10</t>
  </si>
  <si>
    <t xml:space="preserve">DQ-02</t>
  </si>
  <si>
    <t xml:space="preserve">Energy</t>
  </si>
  <si>
    <t xml:space="preserve">energy = base_energy × volume</t>
  </si>
  <si>
    <t xml:space="preserve">BP r57; Ans Q-10</t>
  </si>
  <si>
    <t xml:space="preserve">DQ-03</t>
  </si>
  <si>
    <t xml:space="preserve">Temperature</t>
  </si>
  <si>
    <t xml:space="preserve">temperature = temp_scale × energy^0.25</t>
  </si>
  <si>
    <t xml:space="preserve">Stefan–Boltzmann flavour; temp_scale = 2 700 gives a Sun-like star ≈ 5 800 K.</t>
  </si>
  <si>
    <t xml:space="preserve">[stellar] temp_scale = 2700</t>
  </si>
  <si>
    <t xml:space="preserve">DQ-04</t>
  </si>
  <si>
    <t xml:space="preserve">colour = lookup(temperature, colour thresholds)</t>
  </si>
  <si>
    <t xml:space="preserve">Real stellar sequence: red → orange → yellow → yellow-white → white → blue-white → blue.</t>
  </si>
  <si>
    <t xml:space="preserve">[stellar] colour_thresholds</t>
  </si>
  <si>
    <t xml:space="preserve">DQ-05</t>
  </si>
  <si>
    <t xml:space="preserve">Pull</t>
  </si>
  <si>
    <t xml:space="preserve">pull = k_g × mass / (1 + distance)^falloff  (star: same cell only, distance = 0)</t>
  </si>
  <si>
    <t xml:space="preserve">Nets against impulse and warp speed (8 Hazards).</t>
  </si>
  <si>
    <t xml:space="preserve">[hazards] k_g = 1.0, falloff = 1.5</t>
  </si>
  <si>
    <t xml:space="preserve">Ans Q-02; Claude</t>
  </si>
  <si>
    <t xml:space="preserve">Star energy buckets</t>
  </si>
  <si>
    <t xml:space="preserve">Bucket</t>
  </si>
  <si>
    <t xml:space="preserve">Energy range</t>
  </si>
  <si>
    <t xml:space="preserve">EB-01</t>
  </si>
  <si>
    <t xml:space="preserve">Low</t>
  </si>
  <si>
    <t xml:space="preserve">energy &lt; 5</t>
  </si>
  <si>
    <t xml:space="preserve">Dying star — radius 0.3, base 2 → energy ≈ 0.2, ≈ 1 900 K, red</t>
  </si>
  <si>
    <t xml:space="preserve">[stellar] energy_low_max = 5</t>
  </si>
  <si>
    <t xml:space="preserve">EB-02</t>
  </si>
  <si>
    <t xml:space="preserve">Medium</t>
  </si>
  <si>
    <t xml:space="preserve">5 ≤ energy &lt; 100</t>
  </si>
  <si>
    <t xml:space="preserve">Sun-like — radius 1, base 5 → energy ≈ 21, ≈ 5 800 K, yellow</t>
  </si>
  <si>
    <t xml:space="preserve">[stellar] energy_medium_max = 100</t>
  </si>
  <si>
    <t xml:space="preserve">EB-03</t>
  </si>
  <si>
    <t xml:space="preserve">High</t>
  </si>
  <si>
    <t xml:space="preserve">energy ≥ 100</t>
  </si>
  <si>
    <t xml:space="preserve">Giant — radius 3, base 8 → energy ≈ 905, ≈ 14 800 K, blue-white</t>
  </si>
  <si>
    <t xml:space="preserve">Calculator — change the yellow inputs and the rows below recompute</t>
  </si>
  <si>
    <t xml:space="preserve">Inputs are placeholders; tune in playtest.</t>
  </si>
  <si>
    <t xml:space="preserve">temp_scale</t>
  </si>
  <si>
    <t xml:space="preserve">[stellar] temp_scale</t>
  </si>
  <si>
    <t xml:space="preserve">energy_low_max</t>
  </si>
  <si>
    <t xml:space="preserve">[stellar] energy_low_max</t>
  </si>
  <si>
    <t xml:space="preserve">energy_medium_max</t>
  </si>
  <si>
    <t xml:space="preserve">[stellar] energy_medium_max</t>
  </si>
  <si>
    <t xml:space="preserve">Colour thresholds (K)</t>
  </si>
  <si>
    <t xml:space="preserve">red</t>
  </si>
  <si>
    <t xml:space="preserve">orange</t>
  </si>
  <si>
    <t xml:space="preserve">yellow</t>
  </si>
  <si>
    <t xml:space="preserve">yellow-white</t>
  </si>
  <si>
    <t xml:space="preserve">blue-white</t>
  </si>
  <si>
    <t xml:space="preserve">blue</t>
  </si>
  <si>
    <t xml:space="preserve">Example star</t>
  </si>
  <si>
    <t xml:space="preserve">radius</t>
  </si>
  <si>
    <t xml:space="preserve">base_energy</t>
  </si>
  <si>
    <t xml:space="preserve">volume</t>
  </si>
  <si>
    <t xml:space="preserve">energy</t>
  </si>
  <si>
    <t xml:space="preserve">bucket</t>
  </si>
  <si>
    <t xml:space="preserve">temperature K</t>
  </si>
  <si>
    <t xml:space="preserve">colour</t>
  </si>
  <si>
    <t xml:space="preserve">dying star</t>
  </si>
  <si>
    <t xml:space="preserve">Sun-like</t>
  </si>
  <si>
    <t xml:space="preserve">giant</t>
  </si>
  <si>
    <t xml:space="preserve">your own</t>
  </si>
  <si>
    <t xml:space="preserve">8 · Hazard rules</t>
  </si>
  <si>
    <t xml:space="preserve">Gravity, shield drain, black holes, wormholes — with a pull calculator</t>
  </si>
  <si>
    <t xml:space="preserve">Trigger</t>
  </si>
  <si>
    <t xml:space="preserve">Effect</t>
  </si>
  <si>
    <t xml:space="preserve">Magnitude</t>
  </si>
  <si>
    <t xml:space="preserve">HZ-01</t>
  </si>
  <si>
    <t xml:space="preserve">Ship 1+ cells away</t>
  </si>
  <si>
    <t xml:space="preserve">No effect.</t>
  </si>
  <si>
    <t xml:space="preserve">0</t>
  </si>
  <si>
    <t xml:space="preserve">BP r65</t>
  </si>
  <si>
    <t xml:space="preserve">HZ-02</t>
  </si>
  <si>
    <t xml:space="preserve">Ship in the same cell</t>
  </si>
  <si>
    <t xml:space="preserve">Pull nets against speed; if the ship does not get out, it is pulled in after N turns and destroyed.</t>
  </si>
  <si>
    <t xml:space="preserve">N = ceil(pull_turns_scale / pull); Sun-like ≈ 7 turns</t>
  </si>
  <si>
    <t xml:space="preserve">[hazards] pull_turns_scale = 7</t>
  </si>
  <si>
    <t xml:space="preserve">BP r66–67; Ans Q-02</t>
  </si>
  <si>
    <t xml:space="preserve">HZ-03</t>
  </si>
  <si>
    <t xml:space="preserve">Shields drain each turn by the star's bucket.</t>
  </si>
  <si>
    <t xml:space="preserve">low 5 · medium 10 · high 20 per turn (of 100)</t>
  </si>
  <si>
    <t xml:space="preserve">[hazards] drain_low = 5, drain_medium = 10, drain_high = 20</t>
  </si>
  <si>
    <t xml:space="preserve">Q-03</t>
  </si>
  <si>
    <t xml:space="preserve">Ans Q-03; Claude</t>
  </si>
  <si>
    <t xml:space="preserve">HZ-04</t>
  </si>
  <si>
    <t xml:space="preserve">Ship anywhere in the sector</t>
  </si>
  <si>
    <t xml:space="preserve">Pull nets against speed at every distance; a ship whose engine ≤ pull cannot move away. Pulled in and destroyed after N turns if it does not get out.</t>
  </si>
  <si>
    <t xml:space="preserve">see calculator</t>
  </si>
  <si>
    <t xml:space="preserve">[stellar] blackhole_mass = 20</t>
  </si>
  <si>
    <t xml:space="preserve">BP r70, r72; Ans Q-02</t>
  </si>
  <si>
    <t xml:space="preserve">HZ-05</t>
  </si>
  <si>
    <t xml:space="preserve">Ship pulled into a wormhole black hole</t>
  </si>
  <si>
    <t xml:space="preserve">Emerges at the fixed partner (same or other galaxy), alive; pulled in again if it stays.</t>
  </si>
  <si>
    <t xml:space="preserve">BP r71–72; Ans Q-11</t>
  </si>
  <si>
    <t xml:space="preserve">HZ-06</t>
  </si>
  <si>
    <t xml:space="preserve">As a black hole with lower mass; no shield drain; no wormhole.</t>
  </si>
  <si>
    <t xml:space="preserve">[stellar] neutron_mass = 8</t>
  </si>
  <si>
    <t xml:space="preserve">HZ-07</t>
  </si>
  <si>
    <t xml:space="preserve">No hazard; trading and landing happen here.</t>
  </si>
  <si>
    <t xml:space="preserve">Q-21</t>
  </si>
  <si>
    <t xml:space="preserve">HZ-08</t>
  </si>
  <si>
    <t xml:space="preserve">Countdown reset</t>
  </si>
  <si>
    <t xml:space="preserve">Ship leaves the pull range (star: the cell; hole: the sector)</t>
  </si>
  <si>
    <t xml:space="preserve">Countdown resets to N.</t>
  </si>
  <si>
    <t xml:space="preserve">HZ-09</t>
  </si>
  <si>
    <t xml:space="preserve">Zero shields</t>
  </si>
  <si>
    <t xml:space="preserve">Shields reach 0 (from drain or combat)</t>
  </si>
  <si>
    <t xml:space="preserve">The next hit of any kind destroys the ship.</t>
  </si>
  <si>
    <t xml:space="preserve">Ans Q-03</t>
  </si>
  <si>
    <t xml:space="preserve">HZ-10</t>
  </si>
  <si>
    <t xml:space="preserve">Warp inside pull</t>
  </si>
  <si>
    <t xml:space="preserve">Warping out of a hole's sector</t>
  </si>
  <si>
    <t xml:space="preserve">Warp factor is netted by pull too: effective = factor − pull; if ≤ 0 the warp fails.</t>
  </si>
  <si>
    <t xml:space="preserve">Pull calculator — yellow inputs; distance is in sector cells from the hole</t>
  </si>
  <si>
    <t xml:space="preserve">All inputs are placeholders — the 7-turn Sun-like star is only the blueprint's example. Tune in playtest (Chat A16).</t>
  </si>
  <si>
    <t xml:space="preserve">k_g</t>
  </si>
  <si>
    <t xml:space="preserve">[hazards] k_g</t>
  </si>
  <si>
    <t xml:space="preserve">falloff</t>
  </si>
  <si>
    <t xml:space="preserve">[hazards] falloff exponent</t>
  </si>
  <si>
    <t xml:space="preserve">blackhole_mass</t>
  </si>
  <si>
    <t xml:space="preserve">neutron_mass</t>
  </si>
  <si>
    <t xml:space="preserve">sun_mass</t>
  </si>
  <si>
    <t xml:space="preserve">a Sun-like star's mass</t>
  </si>
  <si>
    <t xml:space="preserve">pull_turns_scale</t>
  </si>
  <si>
    <t xml:space="preserve">[hazards] pull_turns_scale</t>
  </si>
  <si>
    <t xml:space="preserve">distance</t>
  </si>
  <si>
    <t xml:space="preserve">black hole pull</t>
  </si>
  <si>
    <t xml:space="preserve">min engine to move</t>
  </si>
  <si>
    <t xml:space="preserve">turns to pulled in</t>
  </si>
  <si>
    <t xml:space="preserve">neutron pull</t>
  </si>
  <si>
    <t xml:space="preserve">Sun-like star, same cell:</t>
  </si>
  <si>
    <t xml:space="preserve">← pull, turns until pulled in (should read 7 with the defaults)</t>
  </si>
  <si>
    <t xml:space="preserve">9 · Ships</t>
  </si>
  <si>
    <t xml:space="preserve">Ship class, movement rules with the warp curve calculator, ship classes</t>
  </si>
  <si>
    <t xml:space="preserve">Ship class — Ships = {torpedos, phasers, shield_power, engine_power, warpcore_power, captain}</t>
  </si>
  <si>
    <t xml:space="preserve">Attribute</t>
  </si>
  <si>
    <t xml:space="preserve">Range / meaning</t>
  </si>
  <si>
    <t xml:space="preserve">SH-01</t>
  </si>
  <si>
    <t xml:space="preserve">torpedos</t>
  </si>
  <si>
    <t xml:space="preserve">int (ammo count)</t>
  </si>
  <si>
    <t xml:space="preserve">0 … ∞; each hit does torpedo_damage (25)</t>
  </si>
  <si>
    <t xml:space="preserve">Bought from planets or looted.</t>
  </si>
  <si>
    <t xml:space="preserve">BP r75; Claude</t>
  </si>
  <si>
    <t xml:space="preserve">SH-02</t>
  </si>
  <si>
    <t xml:space="preserve">phasers</t>
  </si>
  <si>
    <t xml:space="preserve">float 0–10</t>
  </si>
  <si>
    <t xml:space="preserve">Damage per exchange = phasers × phaser_damage_per_unit (5), falling with distance</t>
  </si>
  <si>
    <t xml:space="preserve">Never runs out.</t>
  </si>
  <si>
    <t xml:space="preserve">SH-03</t>
  </si>
  <si>
    <t xml:space="preserve">shield_max / shield_current</t>
  </si>
  <si>
    <t xml:space="preserve">float 0–100</t>
  </si>
  <si>
    <t xml:space="preserve">Current absorbs all damage; at 0 the next hit destroys the ship. Recharges shield_recharge (5) per turn outside hazards and battle.</t>
  </si>
  <si>
    <t xml:space="preserve">shield_max is what upgrades raise; not looted (CB-01).</t>
  </si>
  <si>
    <t xml:space="preserve">Q-03, Q-12</t>
  </si>
  <si>
    <t xml:space="preserve">BP r75, r68, r106; Ans Q-03; Claude</t>
  </si>
  <si>
    <t xml:space="preserve">SH-04</t>
  </si>
  <si>
    <t xml:space="preserve">engine_power</t>
  </si>
  <si>
    <t xml:space="preserve">Max impulse speed; cells per turn = floor(speed − pull).</t>
  </si>
  <si>
    <t xml:space="preserve">BP r76; Ans Q-02</t>
  </si>
  <si>
    <t xml:space="preserve">SH-05</t>
  </si>
  <si>
    <t xml:space="preserve">warpcore_power</t>
  </si>
  <si>
    <t xml:space="preserve">Max warp factor; reach from the warp curve below; 10 = anywhere in one turn.</t>
  </si>
  <si>
    <t xml:space="preserve">BP r77; Ans Q-02</t>
  </si>
  <si>
    <t xml:space="preserve">SH-06</t>
  </si>
  <si>
    <t xml:space="preserve">captain</t>
  </si>
  <si>
    <t xml:space="preserve">The owning captain (10 Captain).</t>
  </si>
  <si>
    <t xml:space="preserve">BP r75</t>
  </si>
  <si>
    <t xml:space="preserve">SH-07</t>
  </si>
  <si>
    <t xml:space="preserve">hull</t>
  </si>
  <si>
    <t xml:space="preserve">— (none)</t>
  </si>
  <si>
    <t xml:space="preserve">No hull stat: shields are the ship's health (Q-03).</t>
  </si>
  <si>
    <t xml:space="preserve">SH-08</t>
  </si>
  <si>
    <t xml:space="preserve">name, class</t>
  </si>
  <si>
    <t xml:space="preserve">str</t>
  </si>
  <si>
    <t xml:space="preserve">Original names; class from the table below.</t>
  </si>
  <si>
    <t xml:space="preserve">SH-09</t>
  </si>
  <si>
    <t xml:space="preserve">position</t>
  </si>
  <si>
    <t xml:space="preserve">(galaxy xy, sector xy, cell xy)</t>
  </si>
  <si>
    <t xml:space="preserve">Implied r8</t>
  </si>
  <si>
    <t xml:space="preserve">SH-10</t>
  </si>
  <si>
    <t xml:space="preserve">cargo</t>
  </si>
  <si>
    <t xml:space="preserve">— (captain-level)</t>
  </si>
  <si>
    <t xml:space="preserve">Items belong to the captain, not the ship; no cargo limit.</t>
  </si>
  <si>
    <t xml:space="preserve">Movement</t>
  </si>
  <si>
    <t xml:space="preserve">Mode</t>
  </si>
  <si>
    <t xml:space="preserve">Speed → distance per turn</t>
  </si>
  <si>
    <t xml:space="preserve">Range limit</t>
  </si>
  <si>
    <t xml:space="preserve">MV-01</t>
  </si>
  <si>
    <t xml:space="preserve">Impulse</t>
  </si>
  <si>
    <t xml:space="preserve">cells = floor(speed − pull); speed 1 → 1 cell, 2 → 2 cells; 2.5 → 2 cells.</t>
  </si>
  <si>
    <t xml:space="preserve">Within the sector</t>
  </si>
  <si>
    <t xml:space="preserve">Fractional engine power only matters against pull.</t>
  </si>
  <si>
    <t xml:space="preserve">Ans Q-02; Chat A9</t>
  </si>
  <si>
    <t xml:space="preserve">MV-02</t>
  </si>
  <si>
    <t xml:space="preserve">Warp</t>
  </si>
  <si>
    <t xml:space="preserve">reach (sectors) = w × B^((w/10)^p); w = 10 → anywhere. B = 16, p = 4 give: 1 → 1.0, 2 → 2.0, 5 → 5.9, 8 → 25, 9 → 55, 9.9 → 142, 9.99999 → 160.</t>
  </si>
  <si>
    <t xml:space="preserve">Universe diameter ≈ 8 × 16 × √2 ≈ 181 sectors with the proposed sizes — so 9.99999 is fast but not everywhere.</t>
  </si>
  <si>
    <t xml:space="preserve">Distance between sectors in different galaxies = Chebyshev distance on the flattened sector grid.</t>
  </si>
  <si>
    <t xml:space="preserve">MV-03</t>
  </si>
  <si>
    <t xml:space="preserve">Pull vs warp</t>
  </si>
  <si>
    <t xml:space="preserve">effective factor = w − pull at the departure cell; if ≤ 0 the warp fails.</t>
  </si>
  <si>
    <t xml:space="preserve">MV-04</t>
  </si>
  <si>
    <t xml:space="preserve">Cost</t>
  </si>
  <si>
    <t xml:space="preserve">Moving costs nothing except food and water upkeep each turn.</t>
  </si>
  <si>
    <t xml:space="preserve">MV-05</t>
  </si>
  <si>
    <t xml:space="preserve">Arrival cell after warp</t>
  </si>
  <si>
    <t xml:space="preserve">Nearest free cell to the sector centre.</t>
  </si>
  <si>
    <t xml:space="preserve">MV-06</t>
  </si>
  <si>
    <t xml:space="preserve">Fleet movement</t>
  </si>
  <si>
    <t xml:space="preserve">Owned ships in the same cell as the active ship move with it; others hold position.</t>
  </si>
  <si>
    <t xml:space="preserve">Warp curve calculator — change B and p (yellow) and the reach column recomputes</t>
  </si>
  <si>
    <t xml:space="preserve">B and p are placeholders; tune in playtest.</t>
  </si>
  <si>
    <t xml:space="preserve">B</t>
  </si>
  <si>
    <t xml:space="preserve">[movement] warp_curve_base</t>
  </si>
  <si>
    <t xml:space="preserve">p</t>
  </si>
  <si>
    <t xml:space="preserve">[movement] warp_curve_exponent</t>
  </si>
  <si>
    <t xml:space="preserve">warp factor</t>
  </si>
  <si>
    <t xml:space="preserve">reach (sectors)</t>
  </si>
  <si>
    <t xml:space="preserve">note</t>
  </si>
  <si>
    <t xml:space="preserve">universe diameter ≈ 181 sectors at 8 × 16</t>
  </si>
  <si>
    <t xml:space="preserve">Ship classes</t>
  </si>
  <si>
    <t xml:space="preserve">Proposed starting set; names are placeholders for you to replace.</t>
  </si>
  <si>
    <t xml:space="preserve">Class name</t>
  </si>
  <si>
    <t xml:space="preserve">Base stats (torp / phaser / shield / engine / warp)</t>
  </si>
  <si>
    <t xml:space="preserve">CLS-01</t>
  </si>
  <si>
    <t xml:space="preserve">Kestrel (starting ship)</t>
  </si>
  <si>
    <t xml:space="preserve">Scout / trader</t>
  </si>
  <si>
    <t xml:space="preserve">6 / 3 / 60 / 4 / 3</t>
  </si>
  <si>
    <t xml:space="preserve">Weak but fast enough to escape</t>
  </si>
  <si>
    <t xml:space="preserve">CLS-02</t>
  </si>
  <si>
    <t xml:space="preserve">Corsair</t>
  </si>
  <si>
    <t xml:space="preserve">Raider</t>
  </si>
  <si>
    <t xml:space="preserve">12 / 5 / 80 / 6 / 5</t>
  </si>
  <si>
    <t xml:space="preserve">AI captains' usual ship</t>
  </si>
  <si>
    <t xml:space="preserve">CLS-03</t>
  </si>
  <si>
    <t xml:space="preserve">Bastion</t>
  </si>
  <si>
    <t xml:space="preserve">Heavy</t>
  </si>
  <si>
    <t xml:space="preserve">20 / 8 / 100 / 3 / 4</t>
  </si>
  <si>
    <t xml:space="preserve">Guards the ultimate item</t>
  </si>
  <si>
    <t xml:space="preserve">10 · Captain &amp; fleet</t>
  </si>
  <si>
    <t xml:space="preserve">Captain class, fleet rules, endgame eligibility</t>
  </si>
  <si>
    <t xml:space="preserve">Captain class — Captain = {name, gold_coins, silver_coins, items, fear_level, respect_level}</t>
  </si>
  <si>
    <t xml:space="preserve">CP-01</t>
  </si>
  <si>
    <t xml:space="preserve">name</t>
  </si>
  <si>
    <t xml:space="preserve">BP r80</t>
  </si>
  <si>
    <t xml:space="preserve">CP-02</t>
  </si>
  <si>
    <t xml:space="preserve">gold_coins</t>
  </si>
  <si>
    <t xml:space="preserve">int</t>
  </si>
  <si>
    <t xml:space="preserve">Start: 5</t>
  </si>
  <si>
    <t xml:space="preserve">1 gold = 20 silver.</t>
  </si>
  <si>
    <t xml:space="preserve">BP r80; Ans Q-14; Claude</t>
  </si>
  <si>
    <t xml:space="preserve">CP-03</t>
  </si>
  <si>
    <t xml:space="preserve">silver_coins</t>
  </si>
  <si>
    <t xml:space="preserve">Start: 50</t>
  </si>
  <si>
    <t xml:space="preserve">BP r80; Claude</t>
  </si>
  <si>
    <t xml:space="preserve">CP-04</t>
  </si>
  <si>
    <t xml:space="preserve">items</t>
  </si>
  <si>
    <t xml:space="preserve">List[Item]</t>
  </si>
  <si>
    <t xml:space="preserve">Items belong to the captain, shared across the fleet.</t>
  </si>
  <si>
    <t xml:space="preserve">BP r80; Ans Q-14</t>
  </si>
  <si>
    <t xml:space="preserve">CP-05</t>
  </si>
  <si>
    <t xml:space="preserve">fear_level</t>
  </si>
  <si>
    <t xml:space="preserve">int 0–100</t>
  </si>
  <si>
    <t xml:space="preserve">Start: 10</t>
  </si>
  <si>
    <t xml:space="preserve">BP r80; Ans Q-15</t>
  </si>
  <si>
    <t xml:space="preserve">CP-06</t>
  </si>
  <si>
    <t xml:space="preserve">respect_level</t>
  </si>
  <si>
    <t xml:space="preserve">CP-07</t>
  </si>
  <si>
    <t xml:space="preserve">food, water</t>
  </si>
  <si>
    <t xml:space="preserve">Start: 30 each; −1 each per turn</t>
  </si>
  <si>
    <t xml:space="preserve">Buy from planets. At 0: mutiny (11 Items, SUP-03).</t>
  </si>
  <si>
    <t xml:space="preserve">CP-08</t>
  </si>
  <si>
    <t xml:space="preserve">ships / active_ship</t>
  </si>
  <si>
    <t xml:space="preserve">List[Ship] / Ship</t>
  </si>
  <si>
    <t xml:space="preserve">No limit</t>
  </si>
  <si>
    <t xml:space="preserve">CP-09</t>
  </si>
  <si>
    <t xml:space="preserve">is_player</t>
  </si>
  <si>
    <t xml:space="preserve">bool</t>
  </si>
  <si>
    <t xml:space="preserve">AI captains use the same class.</t>
  </si>
  <si>
    <t xml:space="preserve">CP-10</t>
  </si>
  <si>
    <t xml:space="preserve">is_master</t>
  </si>
  <si>
    <t xml:space="preserve">Set when the ultimate item is obtained</t>
  </si>
  <si>
    <t xml:space="preserve">Fleet rules</t>
  </si>
  <si>
    <t xml:space="preserve">FL-01</t>
  </si>
  <si>
    <t xml:space="preserve">Switching</t>
  </si>
  <si>
    <t xml:space="preserve">The command terminal switches the active ship; each ship has its own order queue.</t>
  </si>
  <si>
    <t xml:space="preserve">BP r13; Claude</t>
  </si>
  <si>
    <t xml:space="preserve">FL-02</t>
  </si>
  <si>
    <t xml:space="preserve">Acquiring ships</t>
  </si>
  <si>
    <t xml:space="preserve">Buy from a planet (price in gold) or capture: a ship whose captain accepts peace at 0 shields surrenders it.</t>
  </si>
  <si>
    <t xml:space="preserve">FL-03</t>
  </si>
  <si>
    <t xml:space="preserve">Inactive ships</t>
  </si>
  <si>
    <t xml:space="preserve">Hold position unless in the active ship's cell (then they move with it).</t>
  </si>
  <si>
    <t xml:space="preserve">FL-04</t>
  </si>
  <si>
    <t xml:space="preserve">Game over when the player's active ship is destroyed — the captain is on it. Other owned ships do not save the run.</t>
  </si>
  <si>
    <t xml:space="preserve">Ans Q-29; Chat A10</t>
  </si>
  <si>
    <t xml:space="preserve">FL-05</t>
  </si>
  <si>
    <t xml:space="preserve">Fleet in battle</t>
  </si>
  <si>
    <t xml:space="preserve">All ships in range fight under the same rules; strength for fear / respect is the fleet total.</t>
  </si>
  <si>
    <t xml:space="preserve">Q-13, Q-22</t>
  </si>
  <si>
    <t xml:space="preserve">Ans Q-13, Q-22</t>
  </si>
  <si>
    <t xml:space="preserve">Threshold</t>
  </si>
  <si>
    <t xml:space="preserve">Value</t>
  </si>
  <si>
    <t xml:space="preserve">EG-01</t>
  </si>
  <si>
    <t xml:space="preserve">Wealth</t>
  </si>
  <si>
    <t xml:space="preserve">≥ 100 gold-equivalent (gold × 20 + silver ≥ 2 000 silver)</t>
  </si>
  <si>
    <t xml:space="preserve">Tuned to ~70–100 turns (Q-35).</t>
  </si>
  <si>
    <t xml:space="preserve">[endgame] wealth_min_silver = 2000</t>
  </si>
  <si>
    <t xml:space="preserve">Ans Q-15; Claude</t>
  </si>
  <si>
    <t xml:space="preserve">EG-02</t>
  </si>
  <si>
    <t xml:space="preserve">Respect</t>
  </si>
  <si>
    <t xml:space="preserve">≥ 90</t>
  </si>
  <si>
    <t xml:space="preserve">[endgame] respect_min = 90</t>
  </si>
  <si>
    <t xml:space="preserve">EG-03</t>
  </si>
  <si>
    <t xml:space="preserve">Fear</t>
  </si>
  <si>
    <t xml:space="preserve">[endgame] fear_min = 90</t>
  </si>
  <si>
    <t xml:space="preserve">EG-04</t>
  </si>
  <si>
    <t xml:space="preserve">Required items</t>
  </si>
  <si>
    <t xml:space="preserve">Hold at least one special item of each category (11 Items).</t>
  </si>
  <si>
    <t xml:space="preserve">[endgame] required_special_categories = 3</t>
  </si>
  <si>
    <t xml:space="preserve">EG-05</t>
  </si>
  <si>
    <t xml:space="preserve">Ultimate item — name</t>
  </si>
  <si>
    <t xml:space="preserve">Lodestone of Starbour (recommended; lodestone = the navigator's stone, fits the harbour pun). Alternatives: Crystal of Starbour, Starbour Keelstone.</t>
  </si>
  <si>
    <t xml:space="preserve">Ans Q-26; Claude</t>
  </si>
  <si>
    <t xml:space="preserve">EG-06</t>
  </si>
  <si>
    <t xml:space="preserve">Ultimate item — where</t>
  </si>
  <si>
    <t xml:space="preserve">Placed when eligible, ≥ half the universe diameter away, in a sector guarded by guard_ships Bastion-class ships that must be beaten.</t>
  </si>
  <si>
    <t xml:space="preserve">EG-07</t>
  </si>
  <si>
    <t xml:space="preserve">Mastery — effect</t>
  </si>
  <si>
    <t xml:space="preserve">Weapons, shields, engine, warp = max; wealth infinite; fear and respect = 100; all planets willing to trade. Play continues.</t>
  </si>
  <si>
    <t xml:space="preserve">Chat A4; Ans Q-37</t>
  </si>
  <si>
    <t xml:space="preserve">EG-08</t>
  </si>
  <si>
    <t xml:space="preserve">Mastery — ceremony</t>
  </si>
  <si>
    <t xml:space="preserve">Fireworks animation and big ASCII-art title on T3 (full colour); T4 shows the title permanently.</t>
  </si>
  <si>
    <t xml:space="preserve">11 · Items, elements &amp; planets</t>
  </si>
  <si>
    <t xml:space="preserve">Item class, element catalogue (real + mythical names), planet class and rules</t>
  </si>
  <si>
    <t xml:space="preserve">Items — Items = {food, water, element_compounds}</t>
  </si>
  <si>
    <t xml:space="preserve">Item</t>
  </si>
  <si>
    <t xml:space="preserve">Purpose / use</t>
  </si>
  <si>
    <t xml:space="preserve">IT-01</t>
  </si>
  <si>
    <t xml:space="preserve">food</t>
  </si>
  <si>
    <t xml:space="preserve">Consumed −1 per turn by crew and captain; bought from planets.</t>
  </si>
  <si>
    <t xml:space="preserve">At 0: mutiny (SUP-03).</t>
  </si>
  <si>
    <t xml:space="preserve">Ans Q-19</t>
  </si>
  <si>
    <t xml:space="preserve">IT-02</t>
  </si>
  <si>
    <t xml:space="preserve">water</t>
  </si>
  <si>
    <t xml:space="preserve">As food.</t>
  </si>
  <si>
    <t xml:space="preserve">IT-03</t>
  </si>
  <si>
    <t xml:space="preserve">element_compounds</t>
  </si>
  <si>
    <t xml:space="preserve">List[Element]</t>
  </si>
  <si>
    <t xml:space="preserve">Trade goods; some upgrade ship components.</t>
  </si>
  <si>
    <t xml:space="preserve">BP r83, r91</t>
  </si>
  <si>
    <t xml:space="preserve">IT-04</t>
  </si>
  <si>
    <t xml:space="preserve">Pickup</t>
  </si>
  <si>
    <t xml:space="preserve">rule</t>
  </si>
  <si>
    <t xml:space="preserve">Enter the cell → scan → choose to pick up. Never automatic.</t>
  </si>
  <si>
    <t xml:space="preserve">IT-05</t>
  </si>
  <si>
    <t xml:space="preserve">Rarity</t>
  </si>
  <si>
    <t xml:space="preserve">≈ 10 special and 100 normal items per galaxy; no respawn.</t>
  </si>
  <si>
    <t xml:space="preserve">Ans Q-07; Claude</t>
  </si>
  <si>
    <t xml:space="preserve">Supplies &amp; mutiny</t>
  </si>
  <si>
    <t xml:space="preserve">Your rule: at zero food or water the crew mutiny and the captain is demoted to a low-class ship. The mechanics around it are proposals.</t>
  </si>
  <si>
    <t xml:space="preserve">SUP-01</t>
  </si>
  <si>
    <t xml:space="preserve">Consumption</t>
  </si>
  <si>
    <t xml:space="preserve">Food and water each fall by 1 per turn.</t>
  </si>
  <si>
    <t xml:space="preserve">SUP-02</t>
  </si>
  <si>
    <t xml:space="preserve">T3 / T4 warn when either is ≤ warn_turns; at 0 the mutiny countdown shows.</t>
  </si>
  <si>
    <t xml:space="preserve">[supplies] warn_turns = 5</t>
  </si>
  <si>
    <t xml:space="preserve">SUP-03</t>
  </si>
  <si>
    <t xml:space="preserve">After mutiny_turns_at_zero consecutive turns with food or water at 0, the crew mutiny and take the active ship.</t>
  </si>
  <si>
    <t xml:space="preserve">Not game over.</t>
  </si>
  <si>
    <t xml:space="preserve">[supplies] mutiny_turns_at_zero = 3</t>
  </si>
  <si>
    <t xml:space="preserve">Chat A11</t>
  </si>
  <si>
    <t xml:space="preserve">SUP-04</t>
  </si>
  <si>
    <t xml:space="preserve">With a fleet</t>
  </si>
  <si>
    <t xml:space="preserve">If the captain owns other ships, the captain moves to one of them (the nearest — Proposed detail) and carries on.</t>
  </si>
  <si>
    <t xml:space="preserve">Chat A19; Claude (nearest)</t>
  </si>
  <si>
    <t xml:space="preserve">SUP-04b</t>
  </si>
  <si>
    <t xml:space="preserve">Without a fleet</t>
  </si>
  <si>
    <t xml:space="preserve">If no other ship is available, the captain is demoted: a Kestrel-class ship in the same cell with mutiny_supplies food and water; coins and items kept; fear −mutiny_fear_delta.</t>
  </si>
  <si>
    <t xml:space="preserve">[supplies] mutiny_ship_class = Kestrel, mutiny_supplies = 10, mutiny_fear_delta = 10</t>
  </si>
  <si>
    <t xml:space="preserve">Chat A11, A19; Claude (values)</t>
  </si>
  <si>
    <t xml:space="preserve">SUP-04c</t>
  </si>
  <si>
    <t xml:space="preserve">The mutineers</t>
  </si>
  <si>
    <t xml:space="preserve">They keep the taken ship and become a new AI captain.</t>
  </si>
  <si>
    <t xml:space="preserve">Chat A18</t>
  </si>
  <si>
    <t xml:space="preserve">SUP-05</t>
  </si>
  <si>
    <t xml:space="preserve">Mastery</t>
  </si>
  <si>
    <t xml:space="preserve">A Master of Starbour has infinite wealth, so supplies never run out.</t>
  </si>
  <si>
    <t xml:space="preserve">Element catalogue — read from controls_config.ini [elements]</t>
  </si>
  <si>
    <t xml:space="preserve">Names: real minerals, metals and gems plus mythical ones; no franchise names. Every row is one config line: name = category, effect, value, rarity. Values are placeholders.</t>
  </si>
  <si>
    <t xml:space="preserve">Name</t>
  </si>
  <si>
    <t xml:space="preserve">Category</t>
  </si>
  <si>
    <t xml:space="preserve">Effect when used</t>
  </si>
  <si>
    <t xml:space="preserve">Rarity / value (silver)</t>
  </si>
  <si>
    <t xml:space="preserve">EL-01</t>
  </si>
  <si>
    <t xml:space="preserve">Iridium</t>
  </si>
  <si>
    <t xml:space="preserve">Precious metal</t>
  </si>
  <si>
    <t xml:space="preserve">Torpedoes +4</t>
  </si>
  <si>
    <t xml:space="preserve">normal · 30</t>
  </si>
  <si>
    <t xml:space="preserve">Q-14, Q-20</t>
  </si>
  <si>
    <t xml:space="preserve">EL-02</t>
  </si>
  <si>
    <t xml:space="preserve">Osmium</t>
  </si>
  <si>
    <t xml:space="preserve">Phasers +0.5</t>
  </si>
  <si>
    <t xml:space="preserve">normal · 40</t>
  </si>
  <si>
    <t xml:space="preserve">EL-03</t>
  </si>
  <si>
    <t xml:space="preserve">Rhodium</t>
  </si>
  <si>
    <t xml:space="preserve">Shields max +5</t>
  </si>
  <si>
    <t xml:space="preserve">EL-04</t>
  </si>
  <si>
    <t xml:space="preserve">Sapphire</t>
  </si>
  <si>
    <t xml:space="preserve">Exotic crystal</t>
  </si>
  <si>
    <t xml:space="preserve">Shields max +10</t>
  </si>
  <si>
    <t xml:space="preserve">normal · 60</t>
  </si>
  <si>
    <t xml:space="preserve">EL-05</t>
  </si>
  <si>
    <t xml:space="preserve">Moonstone</t>
  </si>
  <si>
    <t xml:space="preserve">Engine +0.5</t>
  </si>
  <si>
    <t xml:space="preserve">EL-06</t>
  </si>
  <si>
    <t xml:space="preserve">Sunstone</t>
  </si>
  <si>
    <t xml:space="preserve">Phasers +1</t>
  </si>
  <si>
    <t xml:space="preserve">normal · 80</t>
  </si>
  <si>
    <t xml:space="preserve">EL-07</t>
  </si>
  <si>
    <t xml:space="preserve">Antihydrogen</t>
  </si>
  <si>
    <t xml:space="preserve">Antimatter</t>
  </si>
  <si>
    <t xml:space="preserve">Warp core +0.5</t>
  </si>
  <si>
    <t xml:space="preserve">normal · 100</t>
  </si>
  <si>
    <t xml:space="preserve">EL-08</t>
  </si>
  <si>
    <t xml:space="preserve">Positronium</t>
  </si>
  <si>
    <t xml:space="preserve">Torpedoes +10</t>
  </si>
  <si>
    <t xml:space="preserve">EL-09</t>
  </si>
  <si>
    <t xml:space="preserve">Orichalcum</t>
  </si>
  <si>
    <t xml:space="preserve">Mythical (special)</t>
  </si>
  <si>
    <t xml:space="preserve">Shields max +25</t>
  </si>
  <si>
    <t xml:space="preserve">special · 400</t>
  </si>
  <si>
    <t xml:space="preserve">EL-10</t>
  </si>
  <si>
    <t xml:space="preserve">Adamantine</t>
  </si>
  <si>
    <t xml:space="preserve">Phasers +2</t>
  </si>
  <si>
    <t xml:space="preserve">EL-11</t>
  </si>
  <si>
    <t xml:space="preserve">Aetherite</t>
  </si>
  <si>
    <t xml:space="preserve">Warp core +1.5</t>
  </si>
  <si>
    <t xml:space="preserve">special · 500</t>
  </si>
  <si>
    <t xml:space="preserve">EL-12</t>
  </si>
  <si>
    <t xml:space="preserve">Star-iron</t>
  </si>
  <si>
    <t xml:space="preserve">Engine +1.5</t>
  </si>
  <si>
    <t xml:space="preserve">Planet class — Planet = {name, food, water, element_compounds, shields, torpedos, phasers, prezident_name}</t>
  </si>
  <si>
    <t xml:space="preserve">PL-01</t>
  </si>
  <si>
    <t xml:space="preserve">Original names.</t>
  </si>
  <si>
    <t xml:space="preserve">BP r87</t>
  </si>
  <si>
    <t xml:space="preserve">PL-02</t>
  </si>
  <si>
    <t xml:space="preserve">Stock; regenerates +5 per turn up to a cap</t>
  </si>
  <si>
    <t xml:space="preserve">BP r87; Claude</t>
  </si>
  <si>
    <t xml:space="preserve">PL-03</t>
  </si>
  <si>
    <t xml:space="preserve">Stock for sale; no regeneration</t>
  </si>
  <si>
    <t xml:space="preserve">PL-04</t>
  </si>
  <si>
    <t xml:space="preserve">shields, torpedos, phasers</t>
  </si>
  <si>
    <t xml:space="preserve">as ships</t>
  </si>
  <si>
    <t xml:space="preserve">Planets fight with the same rules; they cannot move or escape.</t>
  </si>
  <si>
    <t xml:space="preserve">BP r87; Ans Q-21</t>
  </si>
  <si>
    <t xml:space="preserve">PL-05</t>
  </si>
  <si>
    <t xml:space="preserve">prezident_name</t>
  </si>
  <si>
    <t xml:space="preserve">Head of the planet; trade counterparty; decides to attack if the captain's respect is low.</t>
  </si>
  <si>
    <t xml:space="preserve">Q-21, Q-24</t>
  </si>
  <si>
    <t xml:space="preserve">BP r87, r90; Ans Q-21</t>
  </si>
  <si>
    <t xml:space="preserve">PL-06</t>
  </si>
  <si>
    <t xml:space="preserve">disposition</t>
  </si>
  <si>
    <t xml:space="preserve">int −100…100</t>
  </si>
  <si>
    <t xml:space="preserve">Derived from the captain's respect (14 Fear &amp; Respect, effects table).</t>
  </si>
  <si>
    <t xml:space="preserve">Q-24</t>
  </si>
  <si>
    <t xml:space="preserve">Chat A13; Claude</t>
  </si>
  <si>
    <t xml:space="preserve">Planet rules</t>
  </si>
  <si>
    <t xml:space="preserve">PR-01</t>
  </si>
  <si>
    <t xml:space="preserve">Trade</t>
  </si>
  <si>
    <t xml:space="preserve">The captain trades items and wealth with the planet's head; buy / sell at the planet's prices.</t>
  </si>
  <si>
    <t xml:space="preserve">BP r90; Ans Q-14</t>
  </si>
  <si>
    <t xml:space="preserve">PR-02</t>
  </si>
  <si>
    <t xml:space="preserve">Attack</t>
  </si>
  <si>
    <t xml:space="preserve">Planets can be attacked and can attack (e.g. a hostile president). Destroyed planet → all its resources are looted. Peace → X% to the victor (13 Combat CB-03).</t>
  </si>
  <si>
    <t xml:space="preserve">Ans Q-21</t>
  </si>
  <si>
    <t xml:space="preserve">PR-03</t>
  </si>
  <si>
    <t xml:space="preserve">Stock regeneration</t>
  </si>
  <si>
    <t xml:space="preserve">Food and water regenerate; elements do not.</t>
  </si>
  <si>
    <t xml:space="preserve">PR-04</t>
  </si>
  <si>
    <t xml:space="preserve">Reach</t>
  </si>
  <si>
    <t xml:space="preserve">The ship must be in the planet's cell to trade.</t>
  </si>
  <si>
    <t xml:space="preserve">PR-05</t>
  </si>
  <si>
    <t xml:space="preserve">Disposition</t>
  </si>
  <si>
    <t xml:space="preserve">Planets respond to respect: below 20 they refuse trade and may attack; prices improve as respect rises; after mastery every planet trades.</t>
  </si>
  <si>
    <t xml:space="preserve">12 · Trade &amp; economy</t>
  </si>
  <si>
    <t xml:space="preserve">Currencies, trading, upgrades, wealth sources and sinks</t>
  </si>
  <si>
    <t xml:space="preserve">TR-01</t>
  </si>
  <si>
    <t xml:space="preserve">Currencies</t>
  </si>
  <si>
    <t xml:space="preserve">Gold and silver coins; 1 gold = 20 silver; gold is rarer.</t>
  </si>
  <si>
    <t xml:space="preserve">[economy] silver_per_gold = 20</t>
  </si>
  <si>
    <t xml:space="preserve">TR-02</t>
  </si>
  <si>
    <t xml:space="preserve">Trade partners</t>
  </si>
  <si>
    <t xml:space="preserve">Other captains and planet heads.</t>
  </si>
  <si>
    <t xml:space="preserve">BP r90</t>
  </si>
  <si>
    <t xml:space="preserve">TR-03</t>
  </si>
  <si>
    <t xml:space="preserve">Tradeable things</t>
  </si>
  <si>
    <t xml:space="preserve">Items (food, water, elements) and coins.</t>
  </si>
  <si>
    <t xml:space="preserve">TR-04</t>
  </si>
  <si>
    <t xml:space="preserve">Buying</t>
  </si>
  <si>
    <t xml:space="preserve">Items are bought with gold / silver at a planet's prices.</t>
  </si>
  <si>
    <t xml:space="preserve">TR-05</t>
  </si>
  <si>
    <t xml:space="preserve">Upgrades</t>
  </si>
  <si>
    <t xml:space="preserve">Elements improve torpedoes, phasers, shields, engine, warp. The map (which element → which component, by how much) lives in controls_config.ini [upgrades]; the game reads it, never hard-codes it.</t>
  </si>
  <si>
    <t xml:space="preserve">[upgrades] *</t>
  </si>
  <si>
    <t xml:space="preserve">BP r91; Chat A17</t>
  </si>
  <si>
    <t xml:space="preserve">TR-06</t>
  </si>
  <si>
    <t xml:space="preserve">Valuation</t>
  </si>
  <si>
    <t xml:space="preserve">A planet accepts a trade if what it receives is worth ≥ what it gives at list prices, adjusted by disposition (±20%). AI captains the same, ±10%.</t>
  </si>
  <si>
    <t xml:space="preserve">[economy] *</t>
  </si>
  <si>
    <t xml:space="preserve">Q-14, Q-24</t>
  </si>
  <si>
    <t xml:space="preserve">TR-07</t>
  </si>
  <si>
    <t xml:space="preserve">Wealth sources (money in)</t>
  </si>
  <si>
    <t xml:space="preserve">Loot from destroyed ships / planets, peace settlements, selling items to planets.</t>
  </si>
  <si>
    <t xml:space="preserve">'Wealth sources' = where money comes from.</t>
  </si>
  <si>
    <t xml:space="preserve">TR-08</t>
  </si>
  <si>
    <t xml:space="preserve">Wealth sinks (money out)</t>
  </si>
  <si>
    <t xml:space="preserve">Food and water every few turns, torpedoes, elements, buying ships. Without sinks money only piles up and the endgame threshold is just a timer.</t>
  </si>
  <si>
    <t xml:space="preserve">'Wealth sinks' = things you must spend on.</t>
  </si>
  <si>
    <t xml:space="preserve">TR-09</t>
  </si>
  <si>
    <t xml:space="preserve">Respect from trade</t>
  </si>
  <si>
    <t xml:space="preserve">Any accepted trade → respect +; acquiring a special item → respect +.</t>
  </si>
  <si>
    <t xml:space="preserve">[respect] trade_accepted_delta, special_item_delta</t>
  </si>
  <si>
    <t xml:space="preserve">BP r102–103</t>
  </si>
  <si>
    <t xml:space="preserve">TR-10</t>
  </si>
  <si>
    <t xml:space="preserve">After mastery</t>
  </si>
  <si>
    <t xml:space="preserve">Every planet trades (and at base prices).</t>
  </si>
  <si>
    <t xml:space="preserve">Upgrade map — which element improves which component</t>
  </si>
  <si>
    <t xml:space="preserve">Agreed as a configurable table: the structure is fixed, every number is read from controls_config.ini [upgrades]. Values here are placeholders. Caps keep every stat ≤ its max.</t>
  </si>
  <si>
    <t xml:space="preserve">Component</t>
  </si>
  <si>
    <t xml:space="preserve">Improving elements</t>
  </si>
  <si>
    <t xml:space="preserve">Effect per unit</t>
  </si>
  <si>
    <t xml:space="preserve">Cap</t>
  </si>
  <si>
    <t xml:space="preserve">UP-01</t>
  </si>
  <si>
    <t xml:space="preserve">Torpedoes</t>
  </si>
  <si>
    <t xml:space="preserve">Iridium +4 · Positronium +10</t>
  </si>
  <si>
    <t xml:space="preserve">ammo count</t>
  </si>
  <si>
    <t xml:space="preserve">none</t>
  </si>
  <si>
    <t xml:space="preserve">Chat A17; Claude (values)</t>
  </si>
  <si>
    <t xml:space="preserve">UP-02</t>
  </si>
  <si>
    <t xml:space="preserve">Phasers</t>
  </si>
  <si>
    <t xml:space="preserve">Osmium +0.5 · Sunstone +1 · Adamantine +2</t>
  </si>
  <si>
    <t xml:space="preserve">phaser power</t>
  </si>
  <si>
    <t xml:space="preserve">10</t>
  </si>
  <si>
    <t xml:space="preserve">UP-03</t>
  </si>
  <si>
    <t xml:space="preserve">Shields (max)</t>
  </si>
  <si>
    <t xml:space="preserve">Rhodium +5 · Sapphire +10 · Orichalcum +25</t>
  </si>
  <si>
    <t xml:space="preserve">shield_max</t>
  </si>
  <si>
    <t xml:space="preserve">100</t>
  </si>
  <si>
    <t xml:space="preserve">UP-04</t>
  </si>
  <si>
    <t xml:space="preserve">Moonstone +0.5 · Star-iron +1.5</t>
  </si>
  <si>
    <t xml:space="preserve">UP-05</t>
  </si>
  <si>
    <t xml:space="preserve">Warp core</t>
  </si>
  <si>
    <t xml:space="preserve">Antihydrogen +0.5 · Aetherite +1.5</t>
  </si>
  <si>
    <t xml:space="preserve">Price list (silver) — read from controls_config.ini [prices]</t>
  </si>
  <si>
    <t xml:space="preserve">Structure agreed; values are placeholders configurable outside the game (Chat A17).</t>
  </si>
  <si>
    <t xml:space="preserve">Good</t>
  </si>
  <si>
    <t xml:space="preserve">Buy price</t>
  </si>
  <si>
    <t xml:space="preserve">Sell price (planet pays)</t>
  </si>
  <si>
    <t xml:space="preserve">PRC-01</t>
  </si>
  <si>
    <t xml:space="preserve">Food (1 unit)</t>
  </si>
  <si>
    <t xml:space="preserve">2</t>
  </si>
  <si>
    <t xml:space="preserve">1</t>
  </si>
  <si>
    <t xml:space="preserve">[prices] food_buy, food_sell</t>
  </si>
  <si>
    <t xml:space="preserve">PRC-02</t>
  </si>
  <si>
    <t xml:space="preserve">Water (1 unit)</t>
  </si>
  <si>
    <t xml:space="preserve">[prices] water_buy, water_sell</t>
  </si>
  <si>
    <t xml:space="preserve">PRC-03</t>
  </si>
  <si>
    <t xml:space="preserve">Torpedo (1)</t>
  </si>
  <si>
    <t xml:space="preserve">5</t>
  </si>
  <si>
    <t xml:space="preserve">[prices] torpedo_buy, torpedo_sell</t>
  </si>
  <si>
    <t xml:space="preserve">PRC-04</t>
  </si>
  <si>
    <t xml:space="preserve">Elements</t>
  </si>
  <si>
    <t xml:space="preserve">value from [elements]</t>
  </si>
  <si>
    <t xml:space="preserve">element_sell_pct of value (60%)</t>
  </si>
  <si>
    <t xml:space="preserve">[prices] element_sell_pct</t>
  </si>
  <si>
    <t xml:space="preserve">PRC-05</t>
  </si>
  <si>
    <t xml:space="preserve">Ship (Kestrel / Corsair)</t>
  </si>
  <si>
    <t xml:space="preserve">40 gold / 120 gold</t>
  </si>
  <si>
    <t xml:space="preserve">[prices] ship_&lt;class&gt;</t>
  </si>
  <si>
    <t xml:space="preserve">13 · Combat</t>
  </si>
  <si>
    <t xml:space="preserve">The recommended combat model (Q-12) and the outcomes from the blueprint</t>
  </si>
  <si>
    <t xml:space="preserve">Outcomes</t>
  </si>
  <si>
    <t xml:space="preserve">Outcome</t>
  </si>
  <si>
    <t xml:space="preserve">Condition</t>
  </si>
  <si>
    <t xml:space="preserve">Transfer to winner</t>
  </si>
  <si>
    <t xml:space="preserve">CB-01</t>
  </si>
  <si>
    <t xml:space="preserve">Destroy</t>
  </si>
  <si>
    <t xml:space="preserve">Target's shields at 0 and it takes a hit</t>
  </si>
  <si>
    <t xml:space="preserve">All items and coins; torpedoes added; phasers, engine and warp = max(own, victim's), capped at 10; shields not transferred.</t>
  </si>
  <si>
    <t xml:space="preserve">max() rather than adding stops stats racing past 10 (your Q-12 point).</t>
  </si>
  <si>
    <t xml:space="preserve">BP r106; Claude</t>
  </si>
  <si>
    <t xml:space="preserve">CB-02</t>
  </si>
  <si>
    <t xml:space="preserve">Escape</t>
  </si>
  <si>
    <t xml:space="preserve">Escaper ends the movement phase outside every enemy's weapon range</t>
  </si>
  <si>
    <t xml:space="preserve">Nothing.</t>
  </si>
  <si>
    <t xml:space="preserve">Deterministic — depends on engine vs ranges and pull.</t>
  </si>
  <si>
    <t xml:space="preserve">BP r107; Claude</t>
  </si>
  <si>
    <t xml:space="preserve">CB-03</t>
  </si>
  <si>
    <t xml:space="preserve">Peace</t>
  </si>
  <si>
    <t xml:space="preserve">One side offers, the other accepts</t>
  </si>
  <si>
    <t xml:space="preserve">Victor = the side that did NOT offer. X = max(0, (V_shields − L_shields) / V_shields) × peace_loot_max; X% of the loser's items and coins go to the victor.</t>
  </si>
  <si>
    <t xml:space="preserve">If the victor's shields are lower, X = 0 — peace with nothing transferred.</t>
  </si>
  <si>
    <t xml:space="preserve">[battle] peace_loot_max = 50</t>
  </si>
  <si>
    <t xml:space="preserve">Q-12, Q-21</t>
  </si>
  <si>
    <t xml:space="preserve">BP r108; Ans Q-21; Chat A12</t>
  </si>
  <si>
    <t xml:space="preserve">CB-04</t>
  </si>
  <si>
    <t xml:space="preserve">Player loses</t>
  </si>
  <si>
    <t xml:space="preserve">Player's active ship destroyed</t>
  </si>
  <si>
    <t xml:space="preserve">— game over; start again.</t>
  </si>
  <si>
    <t xml:space="preserve">Combat model — recommendation</t>
  </si>
  <si>
    <t xml:space="preserve">One exchange per turn; battle = being in weapon range. Alternatives and failure modes in the notes.</t>
  </si>
  <si>
    <t xml:space="preserve">Recommendation</t>
  </si>
  <si>
    <t xml:space="preserve">Why</t>
  </si>
  <si>
    <t xml:space="preserve">Alternative / how it fails</t>
  </si>
  <si>
    <t xml:space="preserve">CM-01</t>
  </si>
  <si>
    <t xml:space="preserve">Starting a fight</t>
  </si>
  <si>
    <t xml:space="preserve">Any 'fire' order on a target not already in battle with you starts one; costs respect; asks for confirmation.</t>
  </si>
  <si>
    <t xml:space="preserve">[respect] start_fight_delta</t>
  </si>
  <si>
    <t xml:space="preserve">Q-23</t>
  </si>
  <si>
    <t xml:space="preserve">BP r100; Ans Q-34</t>
  </si>
  <si>
    <t xml:space="preserve">CM-02</t>
  </si>
  <si>
    <t xml:space="preserve">Range</t>
  </si>
  <si>
    <t xml:space="preserve">Phasers 2 cells, torpedoes 5 cells (Chebyshev). Being inside any enemy's range = in battle.</t>
  </si>
  <si>
    <t xml:space="preserve">Gives escape a meaning without dice.</t>
  </si>
  <si>
    <t xml:space="preserve">[ALTERNATIVE] same-cell only — too binary with 24 × 24 sectors.</t>
  </si>
  <si>
    <t xml:space="preserve">[battle] phaser_range = 2, torpedo_range = 5</t>
  </si>
  <si>
    <t xml:space="preserve">CM-03</t>
  </si>
  <si>
    <t xml:space="preserve">Ammo; each fired torpedo hits with p = 0.7 − 0.03 × target engine; damage 25.</t>
  </si>
  <si>
    <t xml:space="preserve">Fast ships dodge.</t>
  </si>
  <si>
    <t xml:space="preserve">[RISK] randomness in a deterministic game — keep the seed in the RNG so replays match.</t>
  </si>
  <si>
    <t xml:space="preserve">[battle] torpedo_hit_base = 0.7, torpedo_evade_per_engine = 0.03, torpedo_damage = 25</t>
  </si>
  <si>
    <t xml:space="preserve">CM-04</t>
  </si>
  <si>
    <t xml:space="preserve">Always hit; damage = phasers × 5 × (1 − distance / 3).</t>
  </si>
  <si>
    <t xml:space="preserve">Reliable close-range weapon.</t>
  </si>
  <si>
    <t xml:space="preserve">[battle] phaser_damage_per_unit = 5</t>
  </si>
  <si>
    <t xml:space="preserve">CM-05</t>
  </si>
  <si>
    <t xml:space="preserve">Shields</t>
  </si>
  <si>
    <t xml:space="preserve">Absorb all damage; at 0 the next hit destroys (Q-03). Recharge 5 / turn outside battle and hazards.</t>
  </si>
  <si>
    <t xml:space="preserve">[battle] shield_recharge = 5</t>
  </si>
  <si>
    <t xml:space="preserve">CM-06</t>
  </si>
  <si>
    <t xml:space="preserve">Exchange order</t>
  </si>
  <si>
    <t xml:space="preserve">Per turn: all torpedoes resolve, then phasers, simultaneously for both sides; destruction checked after.</t>
  </si>
  <si>
    <t xml:space="preserve">Both sides can die in the same exchange — rare, dramatic, fair.</t>
  </si>
  <si>
    <t xml:space="preserve">CM-07</t>
  </si>
  <si>
    <t xml:space="preserve">Rounds per turn</t>
  </si>
  <si>
    <t xml:space="preserve">One exchange per turn; a battle spans several turns.</t>
  </si>
  <si>
    <t xml:space="preserve">Gives time to escape or sue for peace — matches 'battle every 5–7 turns' pacing.</t>
  </si>
  <si>
    <t xml:space="preserve">[ALTERNATIVE] resolve to the end in one turn — no decisions mid-battle.</t>
  </si>
  <si>
    <t xml:space="preserve">CM-08</t>
  </si>
  <si>
    <t xml:space="preserve">Opponent strength</t>
  </si>
  <si>
    <t xml:space="preserve">strength = Σ over the fleet of (shield_current + torpedoes × 25 + phasers × 5 × 3). Stronger = strength ratio &gt; 1.0.</t>
  </si>
  <si>
    <t xml:space="preserve">Shields and weapons, fleet included (your Q-22).</t>
  </si>
  <si>
    <t xml:space="preserve">Q-22</t>
  </si>
  <si>
    <t xml:space="preserve">Ans Q-22; Claude</t>
  </si>
  <si>
    <t xml:space="preserve">CM-09</t>
  </si>
  <si>
    <t xml:space="preserve">Peace offers</t>
  </si>
  <si>
    <t xml:space="preserve">Either side may offer each turn; the other side's next order accepts or rejects; rejecting costs nothing.</t>
  </si>
  <si>
    <t xml:space="preserve">CM-10</t>
  </si>
  <si>
    <t xml:space="preserve">AI behaviour</t>
  </si>
  <si>
    <t xml:space="preserve">Attack if strength ratio ≥ 1.3 and the target's fear &lt; 50; offer peace when own shields &lt; 30% and weaker; try to escape when shields &lt; 15%.</t>
  </si>
  <si>
    <t xml:space="preserve">[VERIFY] in playtest — this sets how often battles happen.</t>
  </si>
  <si>
    <t xml:space="preserve">[ai] *</t>
  </si>
  <si>
    <t xml:space="preserve">Q-13, Q-24</t>
  </si>
  <si>
    <t xml:space="preserve">CM-11</t>
  </si>
  <si>
    <t xml:space="preserve">Planets in combat</t>
  </si>
  <si>
    <t xml:space="preserve">Same rules; a planet cannot move or escape; destroyed planet is looted and removed.</t>
  </si>
  <si>
    <t xml:space="preserve">CM-12</t>
  </si>
  <si>
    <t xml:space="preserve">Fleet in combat</t>
  </si>
  <si>
    <t xml:space="preserve">Every ship in range fights; the player gives each ship its own orders.</t>
  </si>
  <si>
    <t xml:space="preserve">CM-13</t>
  </si>
  <si>
    <t xml:space="preserve">Guardians</t>
  </si>
  <si>
    <t xml:space="preserve">The ultimate item's sector holds guard_ships Bastion-class ships that attack on entry.</t>
  </si>
  <si>
    <t xml:space="preserve">14 · Fear &amp; respect</t>
  </si>
  <si>
    <t xml:space="preserve">Events, levels, and what the levels change in the world</t>
  </si>
  <si>
    <t xml:space="preserve">Events</t>
  </si>
  <si>
    <t xml:space="preserve">Levels are ints 0–100. Base deltas are config keys, scaled by the strength ratio (LV-03).</t>
  </si>
  <si>
    <t xml:space="preserve">Event</t>
  </si>
  <si>
    <t xml:space="preserve">Fear Δ</t>
  </si>
  <si>
    <t xml:space="preserve">Respect Δ</t>
  </si>
  <si>
    <t xml:space="preserve">FR-01</t>
  </si>
  <si>
    <t xml:space="preserve">Battle won</t>
  </si>
  <si>
    <t xml:space="preserve">Any opponent</t>
  </si>
  <si>
    <t xml:space="preserve">+8</t>
  </si>
  <si>
    <t xml:space="preserve">[fear] battle_won_delta = 8</t>
  </si>
  <si>
    <t xml:space="preserve">BP r94; Claude</t>
  </si>
  <si>
    <t xml:space="preserve">FR-02</t>
  </si>
  <si>
    <t xml:space="preserve">Battle lost</t>
  </si>
  <si>
    <t xml:space="preserve">AI captains only (a player loss is game over)</t>
  </si>
  <si>
    <t xml:space="preserve">−8</t>
  </si>
  <si>
    <t xml:space="preserve">[fear] battle_lost_delta = 8</t>
  </si>
  <si>
    <t xml:space="preserve">BP r95; Ans Q-29</t>
  </si>
  <si>
    <t xml:space="preserve">FR-03</t>
  </si>
  <si>
    <t xml:space="preserve">Battle won vs stronger</t>
  </si>
  <si>
    <t xml:space="preserve">strength ratio &lt; 1</t>
  </si>
  <si>
    <t xml:space="preserve">(FR-01)</t>
  </si>
  <si>
    <t xml:space="preserve">+10</t>
  </si>
  <si>
    <t xml:space="preserve">[respect] win_vs_stronger_delta = 10</t>
  </si>
  <si>
    <t xml:space="preserve">BP r98; Claude</t>
  </si>
  <si>
    <t xml:space="preserve">FR-04</t>
  </si>
  <si>
    <t xml:space="preserve">Battle won vs weaker who offered peace</t>
  </si>
  <si>
    <t xml:space="preserve">ratio &gt; 1 and the loser offered peace</t>
  </si>
  <si>
    <t xml:space="preserve">[respect] win_vs_weaker_peace_delta = 8</t>
  </si>
  <si>
    <t xml:space="preserve">BP r99; Claude</t>
  </si>
  <si>
    <t xml:space="preserve">FR-05</t>
  </si>
  <si>
    <t xml:space="preserve">Battle won vs weaker, player started it</t>
  </si>
  <si>
    <t xml:space="preserve">ratio &gt; 1 and the player fired first</t>
  </si>
  <si>
    <t xml:space="preserve">[respect] win_vs_weaker_started_delta = 8</t>
  </si>
  <si>
    <t xml:space="preserve">FR-06</t>
  </si>
  <si>
    <t xml:space="preserve">Player fires first</t>
  </si>
  <si>
    <t xml:space="preserve">−5</t>
  </si>
  <si>
    <t xml:space="preserve">[respect] start_fight_delta = 5</t>
  </si>
  <si>
    <t xml:space="preserve">BP r100; Claude</t>
  </si>
  <si>
    <t xml:space="preserve">FR-07</t>
  </si>
  <si>
    <t xml:space="preserve">Trade accepted</t>
  </si>
  <si>
    <t xml:space="preserve">Any accepted trade</t>
  </si>
  <si>
    <t xml:space="preserve">+3</t>
  </si>
  <si>
    <t xml:space="preserve">[respect] trade_accepted_delta = 3</t>
  </si>
  <si>
    <t xml:space="preserve">BP r102; Claude</t>
  </si>
  <si>
    <t xml:space="preserve">FR-08</t>
  </si>
  <si>
    <t xml:space="preserve">Special item acquired</t>
  </si>
  <si>
    <t xml:space="preserve">Special category</t>
  </si>
  <si>
    <t xml:space="preserve">+6</t>
  </si>
  <si>
    <t xml:space="preserve">[respect] special_item_delta = 6</t>
  </si>
  <si>
    <t xml:space="preserve">BP r103; Claude</t>
  </si>
  <si>
    <t xml:space="preserve">FR-09</t>
  </si>
  <si>
    <t xml:space="preserve">Stacking</t>
  </si>
  <si>
    <t xml:space="preserve">FR-05 and FR-06 both apply when the player starts and wins against a weaker opponent.</t>
  </si>
  <si>
    <t xml:space="preserve">Ans Q-23</t>
  </si>
  <si>
    <t xml:space="preserve">FR-10</t>
  </si>
  <si>
    <t xml:space="preserve">No extra events, no decay</t>
  </si>
  <si>
    <t xml:space="preserve">Losing to a weaker opponent, mercy, escaping: no effect. Levels do not drift.</t>
  </si>
  <si>
    <t xml:space="preserve">Q-36</t>
  </si>
  <si>
    <t xml:space="preserve">Ans Q-36</t>
  </si>
  <si>
    <t xml:space="preserve">Level mechanics</t>
  </si>
  <si>
    <t xml:space="preserve">LV-01</t>
  </si>
  <si>
    <t xml:space="preserve">int 0–100 for both.</t>
  </si>
  <si>
    <t xml:space="preserve">LV-02</t>
  </si>
  <si>
    <t xml:space="preserve">Starting values</t>
  </si>
  <si>
    <t xml:space="preserve">10 and 10.</t>
  </si>
  <si>
    <t xml:space="preserve">[fear] start = 10, [respect] start = 10</t>
  </si>
  <si>
    <t xml:space="preserve">LV-03</t>
  </si>
  <si>
    <t xml:space="preserve">Scaling</t>
  </si>
  <si>
    <t xml:space="preserve">delta × clamp(strength ratio of the opponent vs you, 0.5, 2.0) — beating a much stronger fleet counts double.</t>
  </si>
  <si>
    <t xml:space="preserve">[reputation] scale_min = 0.5, scale_max = 2.0</t>
  </si>
  <si>
    <t xml:space="preserve">BP r111; Claude</t>
  </si>
  <si>
    <t xml:space="preserve">LV-04</t>
  </si>
  <si>
    <t xml:space="preserve">Visibility</t>
  </si>
  <si>
    <t xml:space="preserve">Other captains' levels are visible when in the same sector (via scan).</t>
  </si>
  <si>
    <t xml:space="preserve">LV-05</t>
  </si>
  <si>
    <t xml:space="preserve">Tuning</t>
  </si>
  <si>
    <t xml:space="preserve">All deltas are placeholders. No target turn count — tune by playtest until the game feels right.</t>
  </si>
  <si>
    <t xml:space="preserve">Chat A15</t>
  </si>
  <si>
    <t xml:space="preserve">Effects in the world</t>
  </si>
  <si>
    <t xml:space="preserve">Split agreed (Chat A13): FEAR acts on ships — AI captains yield. RESPECT acts on planets — they comply. Thresholds are placeholders.</t>
  </si>
  <si>
    <t xml:space="preserve">Who</t>
  </si>
  <si>
    <t xml:space="preserve">Fear effect</t>
  </si>
  <si>
    <t xml:space="preserve">Respect effect</t>
  </si>
  <si>
    <t xml:space="preserve">EF-00</t>
  </si>
  <si>
    <t xml:space="preserve">The split</t>
  </si>
  <si>
    <t xml:space="preserve">Fear → ships yield.</t>
  </si>
  <si>
    <t xml:space="preserve">Respect → planets comply.</t>
  </si>
  <si>
    <t xml:space="preserve">Chat A13</t>
  </si>
  <si>
    <t xml:space="preserve">EF-01</t>
  </si>
  <si>
    <t xml:space="preserve">AI captains — attacking</t>
  </si>
  <si>
    <t xml:space="preserve">Attack the player only if the player's fear &lt; attack_fear_max, or they are ≥ attack_ratio_min stronger.</t>
  </si>
  <si>
    <t xml:space="preserve">[ai] attack_fear_max = 50, attack_ratio_min = 1.3</t>
  </si>
  <si>
    <t xml:space="preserve">EF-02</t>
  </si>
  <si>
    <t xml:space="preserve">AI captains — yielding</t>
  </si>
  <si>
    <t xml:space="preserve">Offer peace earlier as fear rises (shield threshold 30% at fear 0 → 60% at fear 100); at fear ≥ yield_fear_min a weaker captain surrenders the ship outright when its shields drop below 20%.</t>
  </si>
  <si>
    <t xml:space="preserve">Accept the player's peace offers more readily as respect rises.</t>
  </si>
  <si>
    <t xml:space="preserve">Surrender = the player gains the ship (FL-02).</t>
  </si>
  <si>
    <t xml:space="preserve">[ai] yield_fear_min = 80</t>
  </si>
  <si>
    <t xml:space="preserve">EF-03</t>
  </si>
  <si>
    <t xml:space="preserve">AI captains — trade</t>
  </si>
  <si>
    <t xml:space="preserve">Accept trades at slightly worse terms for themselves as respect rises (±10%).</t>
  </si>
  <si>
    <t xml:space="preserve">Minor; delete if you want respect to be planets-only.</t>
  </si>
  <si>
    <t xml:space="preserve">[economy] respect_price_band = 10</t>
  </si>
  <si>
    <t xml:space="preserve">EF-04</t>
  </si>
  <si>
    <t xml:space="preserve">Planets — trade</t>
  </si>
  <si>
    <t xml:space="preserve">Refuse trade below planet_refuse_respect; prices improve up to planet_price_band % at respect 100.</t>
  </si>
  <si>
    <t xml:space="preserve">[economy] planet_refuse_respect = 20, planet_price_band = 20</t>
  </si>
  <si>
    <t xml:space="preserve">EF-05</t>
  </si>
  <si>
    <t xml:space="preserve">Planets — attacking</t>
  </si>
  <si>
    <t xml:space="preserve">May attack if respect &lt; planet_attack_respect_max and they are stronger.</t>
  </si>
  <si>
    <t xml:space="preserve">[ai] planet_attack_respect_max = 20</t>
  </si>
  <si>
    <t xml:space="preserve">EF-06</t>
  </si>
  <si>
    <t xml:space="preserve">Both at 100: every ship yields; every planet trades.</t>
  </si>
  <si>
    <t xml:space="preserve">15 · controls_config.ini</t>
  </si>
  <si>
    <t xml:space="preserve">Every tunable, one row per key. Proposed defaults are Claude's; the build kit generates the .ini from this tab.</t>
  </si>
  <si>
    <t xml:space="preserve">Keys</t>
  </si>
  <si>
    <t xml:space="preserve">Structure agreed; every numeric value is a placeholder you can change outside the game (Chat A17). [upgrades], [prices] and [elements] are data sections the game reads, never hard-codes.</t>
  </si>
  <si>
    <t xml:space="preserve">Section</t>
  </si>
  <si>
    <t xml:space="preserve">Key</t>
  </si>
  <si>
    <t xml:space="preserve">Default</t>
  </si>
  <si>
    <t xml:space="preserve">Unit / range</t>
  </si>
  <si>
    <t xml:space="preserve">Meaning</t>
  </si>
  <si>
    <t xml:space="preserve">Used by</t>
  </si>
  <si>
    <t xml:space="preserve">CFG-01</t>
  </si>
  <si>
    <t xml:space="preserve">[fear]</t>
  </si>
  <si>
    <t xml:space="preserve">battle_won_delta</t>
  </si>
  <si>
    <t xml:space="preserve">Fear gained for a battle won.</t>
  </si>
  <si>
    <t xml:space="preserve">CFG-02</t>
  </si>
  <si>
    <t xml:space="preserve">battle_lost_delta</t>
  </si>
  <si>
    <t xml:space="preserve">Fear lost for a battle lost (AI only).</t>
  </si>
  <si>
    <t xml:space="preserve">CFG-03</t>
  </si>
  <si>
    <t xml:space="preserve">start</t>
  </si>
  <si>
    <t xml:space="preserve">0–100</t>
  </si>
  <si>
    <t xml:space="preserve">Starting fear.</t>
  </si>
  <si>
    <t xml:space="preserve">CFG-04</t>
  </si>
  <si>
    <t xml:space="preserve">[respect]</t>
  </si>
  <si>
    <t xml:space="preserve">win_vs_stronger_delta</t>
  </si>
  <si>
    <t xml:space="preserve">Respect gained for beating a stronger opponent.</t>
  </si>
  <si>
    <t xml:space="preserve">CFG-05</t>
  </si>
  <si>
    <t xml:space="preserve">win_vs_weaker_peace_delta</t>
  </si>
  <si>
    <t xml:space="preserve">Respect lost for beating a weaker opponent who offered peace.</t>
  </si>
  <si>
    <t xml:space="preserve">CFG-06</t>
  </si>
  <si>
    <t xml:space="preserve">win_vs_weaker_started_delta</t>
  </si>
  <si>
    <t xml:space="preserve">Respect lost for beating a weaker opponent in a fight you started.</t>
  </si>
  <si>
    <t xml:space="preserve">CFG-07</t>
  </si>
  <si>
    <t xml:space="preserve">start_fight_delta</t>
  </si>
  <si>
    <t xml:space="preserve">Respect lost for starting any fight.</t>
  </si>
  <si>
    <t xml:space="preserve">CFG-08</t>
  </si>
  <si>
    <t xml:space="preserve">trade_accepted_delta</t>
  </si>
  <si>
    <t xml:space="preserve">Respect gained per accepted trade.</t>
  </si>
  <si>
    <t xml:space="preserve">CFG-09</t>
  </si>
  <si>
    <t xml:space="preserve">special_item_delta</t>
  </si>
  <si>
    <t xml:space="preserve">Respect gained per special item.</t>
  </si>
  <si>
    <t xml:space="preserve">CFG-10</t>
  </si>
  <si>
    <t xml:space="preserve">Starting respect.</t>
  </si>
  <si>
    <t xml:space="preserve">CFG-11</t>
  </si>
  <si>
    <t xml:space="preserve">[reputation]</t>
  </si>
  <si>
    <t xml:space="preserve">scale_min, scale_max</t>
  </si>
  <si>
    <t xml:space="preserve">float</t>
  </si>
  <si>
    <t xml:space="preserve">0.5, 2.0</t>
  </si>
  <si>
    <t xml:space="preserve">Clamp on the strength-ratio multiplier.</t>
  </si>
  <si>
    <t xml:space="preserve">CFG-12</t>
  </si>
  <si>
    <t xml:space="preserve">[stellar]</t>
  </si>
  <si>
    <t xml:space="preserve">K</t>
  </si>
  <si>
    <t xml:space="preserve">temperature = temp_scale × energy^0.25.</t>
  </si>
  <si>
    <t xml:space="preserve">CFG-13</t>
  </si>
  <si>
    <t xml:space="preserve">Energy below this = low bucket.</t>
  </si>
  <si>
    <t xml:space="preserve">CFG-14</t>
  </si>
  <si>
    <t xml:space="preserve">Energy below this = medium; above = high.</t>
  </si>
  <si>
    <t xml:space="preserve">CFG-15</t>
  </si>
  <si>
    <t xml:space="preserve">colour_thresholds</t>
  </si>
  <si>
    <t xml:space="preserve">list</t>
  </si>
  <si>
    <t xml:space="preserve">3700,5200,6000,7500,10000,30000</t>
  </si>
  <si>
    <t xml:space="preserve">red | orange | yellow | yellow-white | white | blue-white | blue.</t>
  </si>
  <si>
    <t xml:space="preserve">DQ-04, SYM-04</t>
  </si>
  <si>
    <t xml:space="preserve">CFG-16</t>
  </si>
  <si>
    <t xml:space="preserve">Pull at distance d = k_g × mass / (1 + d)^falloff.</t>
  </si>
  <si>
    <t xml:space="preserve">CFG-17</t>
  </si>
  <si>
    <t xml:space="preserve">As above, weaker.</t>
  </si>
  <si>
    <t xml:space="preserve">CFG-18</t>
  </si>
  <si>
    <t xml:space="preserve">[hazards]</t>
  </si>
  <si>
    <t xml:space="preserve">Gravity constant.</t>
  </si>
  <si>
    <t xml:space="preserve">CFG-19</t>
  </si>
  <si>
    <t xml:space="preserve">Pull falloff exponent with distance.</t>
  </si>
  <si>
    <t xml:space="preserve">CFG-20</t>
  </si>
  <si>
    <t xml:space="preserve">turns</t>
  </si>
  <si>
    <t xml:space="preserve">Turns until pulled in = ceil(scale / pull). Sun-like star = 7.</t>
  </si>
  <si>
    <t xml:space="preserve">CFG-21</t>
  </si>
  <si>
    <t xml:space="preserve">drain_low, drain_medium, drain_high</t>
  </si>
  <si>
    <t xml:space="preserve">5, 10, 20</t>
  </si>
  <si>
    <t xml:space="preserve">shield / turn</t>
  </si>
  <si>
    <t xml:space="preserve">Shield drain in a star's cell by bucket.</t>
  </si>
  <si>
    <t xml:space="preserve">CFG-22</t>
  </si>
  <si>
    <t xml:space="preserve">[movement]</t>
  </si>
  <si>
    <t xml:space="preserve">impulse_max, warp_max</t>
  </si>
  <si>
    <t xml:space="preserve">Upper bound for engine and warp core.</t>
  </si>
  <si>
    <t xml:space="preserve">SH-04, SH-05</t>
  </si>
  <si>
    <t xml:space="preserve">CFG-23</t>
  </si>
  <si>
    <t xml:space="preserve">warp_curve_base, warp_curve_exponent</t>
  </si>
  <si>
    <t xml:space="preserve">16, 4</t>
  </si>
  <si>
    <t xml:space="preserve">reach = w × base^((w/10)^exponent); w = 10 → anywhere.</t>
  </si>
  <si>
    <t xml:space="preserve">CFG-24</t>
  </si>
  <si>
    <t xml:space="preserve">[battle]</t>
  </si>
  <si>
    <t xml:space="preserve">phaser_range, torpedo_range</t>
  </si>
  <si>
    <t xml:space="preserve">2, 5</t>
  </si>
  <si>
    <t xml:space="preserve">cells</t>
  </si>
  <si>
    <t xml:space="preserve">Weapon ranges.</t>
  </si>
  <si>
    <t xml:space="preserve">CFG-25</t>
  </si>
  <si>
    <t xml:space="preserve">torpedo_hit_base, torpedo_evade_per_engine, torpedo_damage</t>
  </si>
  <si>
    <t xml:space="preserve">0.7, 0.03, 25</t>
  </si>
  <si>
    <t xml:space="preserve">Torpedo hit chance and damage.</t>
  </si>
  <si>
    <t xml:space="preserve">CFG-26</t>
  </si>
  <si>
    <t xml:space="preserve">phaser_damage_per_unit</t>
  </si>
  <si>
    <t xml:space="preserve">Phaser damage per power unit at distance 0.</t>
  </si>
  <si>
    <t xml:space="preserve">CFG-27</t>
  </si>
  <si>
    <t xml:space="preserve">shield_recharge</t>
  </si>
  <si>
    <t xml:space="preserve">/ turn</t>
  </si>
  <si>
    <t xml:space="preserve">Recharge outside battle and hazards.</t>
  </si>
  <si>
    <t xml:space="preserve">CFG-28</t>
  </si>
  <si>
    <t xml:space="preserve">peace_loot_max</t>
  </si>
  <si>
    <t xml:space="preserve">%</t>
  </si>
  <si>
    <t xml:space="preserve">Max share transferred on peace.</t>
  </si>
  <si>
    <t xml:space="preserve">CFG-29</t>
  </si>
  <si>
    <t xml:space="preserve">[ai]</t>
  </si>
  <si>
    <t xml:space="preserve">attack_ratio_min, attack_fear_max</t>
  </si>
  <si>
    <t xml:space="preserve">1.3, 50</t>
  </si>
  <si>
    <t xml:space="preserve">When AI captains attack.</t>
  </si>
  <si>
    <t xml:space="preserve">CM-10, EF-01</t>
  </si>
  <si>
    <t xml:space="preserve">CFG-30</t>
  </si>
  <si>
    <t xml:space="preserve">peace_shield_pct, escape_shield_pct</t>
  </si>
  <si>
    <t xml:space="preserve">30, 15</t>
  </si>
  <si>
    <t xml:space="preserve">When AI offers peace / tries to escape.</t>
  </si>
  <si>
    <t xml:space="preserve">CFG-31</t>
  </si>
  <si>
    <t xml:space="preserve">planet_attack_respect_max</t>
  </si>
  <si>
    <t xml:space="preserve">Planets may attack below this respect.</t>
  </si>
  <si>
    <t xml:space="preserve">CFG-32</t>
  </si>
  <si>
    <t xml:space="preserve">[economy]</t>
  </si>
  <si>
    <t xml:space="preserve">silver_per_gold</t>
  </si>
  <si>
    <t xml:space="preserve">CFG-33</t>
  </si>
  <si>
    <t xml:space="preserve">[upgrades]</t>
  </si>
  <si>
    <t xml:space="preserve">torpedoes</t>
  </si>
  <si>
    <t xml:space="preserve">iridium:4, positronium:10</t>
  </si>
  <si>
    <t xml:space="preserve">ammo</t>
  </si>
  <si>
    <t xml:space="preserve">Elements that add torpedoes, and how many.</t>
  </si>
  <si>
    <t xml:space="preserve">CFG-34</t>
  </si>
  <si>
    <t xml:space="preserve">osmium:0.5, sunstone:1, adamantine:2</t>
  </si>
  <si>
    <t xml:space="preserve">power</t>
  </si>
  <si>
    <t xml:space="preserve">Elements that raise phaser power (cap 10).</t>
  </si>
  <si>
    <t xml:space="preserve">CFG-35</t>
  </si>
  <si>
    <t xml:space="preserve">rhodium:5, sapphire:10, orichalcum:25</t>
  </si>
  <si>
    <t xml:space="preserve">Elements that raise max shields (cap 100).</t>
  </si>
  <si>
    <t xml:space="preserve">CFG-36</t>
  </si>
  <si>
    <t xml:space="preserve">engine</t>
  </si>
  <si>
    <t xml:space="preserve">moonstone:0.5, star_iron:1.5</t>
  </si>
  <si>
    <t xml:space="preserve">Elements that raise engine power (cap 10).</t>
  </si>
  <si>
    <t xml:space="preserve">CFG-37</t>
  </si>
  <si>
    <t xml:space="preserve">antihydrogen:0.5, aetherite:1.5</t>
  </si>
  <si>
    <t xml:space="preserve">Elements that raise warp core power (cap 10).</t>
  </si>
  <si>
    <t xml:space="preserve">CFG-38</t>
  </si>
  <si>
    <t xml:space="preserve">[prices]</t>
  </si>
  <si>
    <t xml:space="preserve">food_buy, food_sell, water_buy, water_sell</t>
  </si>
  <si>
    <t xml:space="preserve">2, 1, 2, 1</t>
  </si>
  <si>
    <t xml:space="preserve">silver</t>
  </si>
  <si>
    <t xml:space="preserve">Planet prices for supplies.</t>
  </si>
  <si>
    <t xml:space="preserve">PRC-01, PRC-02</t>
  </si>
  <si>
    <t xml:space="preserve">CFG-39</t>
  </si>
  <si>
    <t xml:space="preserve">torpedo_buy, torpedo_sell</t>
  </si>
  <si>
    <t xml:space="preserve">10, 5</t>
  </si>
  <si>
    <t xml:space="preserve">Planet prices for torpedoes.</t>
  </si>
  <si>
    <t xml:space="preserve">CFG-40</t>
  </si>
  <si>
    <t xml:space="preserve">element_sell_pct</t>
  </si>
  <si>
    <t xml:space="preserve">What a planet pays for an element, as % of its value.</t>
  </si>
  <si>
    <t xml:space="preserve">CFG-41</t>
  </si>
  <si>
    <t xml:space="preserve">ship_kestrel, ship_corsair</t>
  </si>
  <si>
    <t xml:space="preserve">40, 120</t>
  </si>
  <si>
    <t xml:space="preserve">gold</t>
  </si>
  <si>
    <t xml:space="preserve">Ship purchase prices.</t>
  </si>
  <si>
    <t xml:space="preserve">CFG-42</t>
  </si>
  <si>
    <t xml:space="preserve">[elements]</t>
  </si>
  <si>
    <t xml:space="preserve">&lt;name&gt; = category, value, rarity</t>
  </si>
  <si>
    <t xml:space="preserve">see tab 11</t>
  </si>
  <si>
    <t xml:space="preserve">One line per element in the catalogue; the game never hard-codes elements.</t>
  </si>
  <si>
    <t xml:space="preserve">EL-01…12</t>
  </si>
  <si>
    <t xml:space="preserve">CFG-43</t>
  </si>
  <si>
    <t xml:space="preserve">planet_refuse_respect, planet_price_band, respect_price_band</t>
  </si>
  <si>
    <t xml:space="preserve">20, 20, 10</t>
  </si>
  <si>
    <t xml:space="preserve">Trade effects of respect.</t>
  </si>
  <si>
    <t xml:space="preserve">EF-03, EF-04</t>
  </si>
  <si>
    <t xml:space="preserve">CFG-44</t>
  </si>
  <si>
    <t xml:space="preserve">yield_fear_min</t>
  </si>
  <si>
    <t xml:space="preserve">Fear at which weaker AI captains surrender their ship.</t>
  </si>
  <si>
    <t xml:space="preserve">CFG-45</t>
  </si>
  <si>
    <t xml:space="preserve">[supplies]</t>
  </si>
  <si>
    <t xml:space="preserve">food_start, water_start</t>
  </si>
  <si>
    <t xml:space="preserve">30, 30</t>
  </si>
  <si>
    <t xml:space="preserve">Starting supplies; −1 each per turn.</t>
  </si>
  <si>
    <t xml:space="preserve">CFG-46</t>
  </si>
  <si>
    <t xml:space="preserve">warn_turns</t>
  </si>
  <si>
    <t xml:space="preserve">Warn when food or water is at or below this.</t>
  </si>
  <si>
    <t xml:space="preserve">CFG-47</t>
  </si>
  <si>
    <t xml:space="preserve">mutiny_turns_at_zero</t>
  </si>
  <si>
    <t xml:space="preserve">Consecutive turns at 0 before the crew mutiny.</t>
  </si>
  <si>
    <t xml:space="preserve">CFG-48</t>
  </si>
  <si>
    <t xml:space="preserve">mutiny_ship_class, mutiny_supplies, mutiny_fear_delta</t>
  </si>
  <si>
    <t xml:space="preserve">mixed</t>
  </si>
  <si>
    <t xml:space="preserve">Kestrel, 10, 10</t>
  </si>
  <si>
    <t xml:space="preserve">What the demoted captain gets, and the fear hit.</t>
  </si>
  <si>
    <t xml:space="preserve">CFG-49</t>
  </si>
  <si>
    <t xml:space="preserve">[endgame]</t>
  </si>
  <si>
    <t xml:space="preserve">respect_min, fear_min</t>
  </si>
  <si>
    <t xml:space="preserve">90, 90</t>
  </si>
  <si>
    <t xml:space="preserve">Eligibility thresholds.</t>
  </si>
  <si>
    <t xml:space="preserve">EG-02, EG-03</t>
  </si>
  <si>
    <t xml:space="preserve">CFG-50</t>
  </si>
  <si>
    <t xml:space="preserve">wealth_min_silver</t>
  </si>
  <si>
    <t xml:space="preserve">silver-equiv.</t>
  </si>
  <si>
    <t xml:space="preserve">Eligibility wealth threshold.</t>
  </si>
  <si>
    <t xml:space="preserve">CFG-51</t>
  </si>
  <si>
    <t xml:space="preserve">required_special_categories</t>
  </si>
  <si>
    <t xml:space="preserve">Special items needed (one per category).</t>
  </si>
  <si>
    <t xml:space="preserve">CFG-52</t>
  </si>
  <si>
    <t xml:space="preserve">guard_ships</t>
  </si>
  <si>
    <t xml:space="preserve">Guardians at the ultimate item.</t>
  </si>
  <si>
    <t xml:space="preserve">EG-06, CM-13</t>
  </si>
  <si>
    <t xml:space="preserve">CFG-53</t>
  </si>
  <si>
    <t xml:space="preserve">[world]</t>
  </si>
  <si>
    <t xml:space="preserve">seed</t>
  </si>
  <si>
    <t xml:space="preserve">random</t>
  </si>
  <si>
    <t xml:space="preserve">World-generation seed; shown on T4 so a run can be repeated.</t>
  </si>
  <si>
    <t xml:space="preserve">CFG-54</t>
  </si>
  <si>
    <t xml:space="preserve">universe_size, galaxy_size, sector_size</t>
  </si>
  <si>
    <t xml:space="preserve">M×N</t>
  </si>
  <si>
    <t xml:space="preserve">8×8, 16×16, 24×24</t>
  </si>
  <si>
    <t xml:space="preserve">Grid dimensions.</t>
  </si>
  <si>
    <t xml:space="preserve">VW-01…03</t>
  </si>
  <si>
    <t xml:space="preserve">CFG-55</t>
  </si>
  <si>
    <t xml:space="preserve">fog_of_war</t>
  </si>
  <si>
    <t xml:space="preserve">on</t>
  </si>
  <si>
    <t xml:space="preserve">On: sector contents hidden until visited / scanned.</t>
  </si>
  <si>
    <t xml:space="preserve">CFG-56</t>
  </si>
  <si>
    <t xml:space="preserve">special_items_per_galaxy, normal_items_per_galaxy</t>
  </si>
  <si>
    <t xml:space="preserve">10, 100</t>
  </si>
  <si>
    <t xml:space="preserve">Item density.</t>
  </si>
  <si>
    <t xml:space="preserve">CFG-57</t>
  </si>
  <si>
    <t xml:space="preserve">ai_captains_per_galaxy</t>
  </si>
  <si>
    <t xml:space="preserve">AI captains generated per galaxy.</t>
  </si>
  <si>
    <t xml:space="preserve">CFG-58</t>
  </si>
  <si>
    <t xml:space="preserve">safe_start</t>
  </si>
  <si>
    <t xml:space="preserve">true</t>
  </si>
  <si>
    <t xml:space="preserve">Start sector has a planet and no hole.</t>
  </si>
  <si>
    <t xml:space="preserve">CFG-59</t>
  </si>
  <si>
    <t xml:space="preserve">[bus]</t>
  </si>
  <si>
    <t xml:space="preserve">pub_port, pull_port</t>
  </si>
  <si>
    <t xml:space="preserve">5555, 5556</t>
  </si>
  <si>
    <t xml:space="preserve">ZeroMQ localhost ports.</t>
  </si>
  <si>
    <t xml:space="preserve">CFG-60</t>
  </si>
  <si>
    <t xml:space="preserve">[ui]</t>
  </si>
  <si>
    <t xml:space="preserve">log_lines</t>
  </si>
  <si>
    <t xml:space="preserve">T3 scrollback.</t>
  </si>
  <si>
    <t xml:space="preserve">16 · Open questions</t>
  </si>
  <si>
    <t xml:space="preserve">Your answers (column F, verbatim) and how each was folded in (column G). Agreed = done; Needs detail = a follow-up question is in chat.</t>
  </si>
  <si>
    <t xml:space="preserve">Area</t>
  </si>
  <si>
    <t xml:space="preserve">Question (short)</t>
  </si>
  <si>
    <t xml:space="preserve">Options offered</t>
  </si>
  <si>
    <t xml:space="preserve">Your answer (verbatim)</t>
  </si>
  <si>
    <t xml:space="preserve">Resolution — where it went</t>
  </si>
  <si>
    <t xml:space="preserve">Turns</t>
  </si>
  <si>
    <t xml:space="preserve">How do orders resolve; immediate vs queued; conflicting orders?</t>
  </si>
  <si>
    <t xml:space="preserve">A) Simultaneous, fixed phase order [ASSUMED]  B) Sequential</t>
  </si>
  <si>
    <t xml:space="preserve">player just executes a turn. So your option A I think works.</t>
  </si>
  <si>
    <t xml:space="preserve">A agreed → OV-02, TP-01…08. Immediate / queued split and 'same-kind order replaces' are Proposed (OV-02b).</t>
  </si>
  <si>
    <t xml:space="preserve">Movement &amp; hazards</t>
  </si>
  <si>
    <t xml:space="preserve">Impulse → cells? Warp → reach? Countdown reset? Fatal?</t>
  </si>
  <si>
    <t xml:space="preserve">Countdown: A) resets on leaving [ASSUMED]  B) persists</t>
  </si>
  <si>
    <t xml:space="preserve">lets say impulse of 1 gives 1 sector cell at a time, impulse of 2 gives 2 sector cells at a time. 
With warp 1, one galaxy cell at a time, then 2 at a time for warp 2. 
note: these are float values so we can have e.g. warp 9.2 potentially, so will need to be calculated exponentially as such since warp 10 can be anywhere in the universe in one turn. 9.99999 is very fast and can do many turns at once but no where near warp 10.
the grids will need to be somewhat big i think. 
the gravitational pull factor will net against the speed. 
you will need to come up with calculations to begin with i feel, and maybe put them in this spreadsheet.
Falling into a star is fatal, shields get drained, and if they dont escape and impulse or warp out in time, they will get destroyed. Same with a black hole (but less time to move and need much more engine power, a ship may have not enough power to enter in a black hole sector and escape</t>
  </si>
  <si>
    <t xml:space="preserve">Folded into MV-01…03, HZ-02/04/08/10, DQ-05 + calculators on 8 Hazards and 9 Ships. Fractional impulse = floor (chat A9).</t>
  </si>
  <si>
    <t xml:space="preserve">Shield drain</t>
  </si>
  <si>
    <t xml:space="preserve">Drain per turn? What at 0 shields?</t>
  </si>
  <si>
    <t xml:space="preserve">with 0 shields, they get destroyed with one hit I imagine.
Drain per turn, we should come up with a config of numbers that we can set in the config ini</t>
  </si>
  <si>
    <t xml:space="preserve">HZ-09, SH-07, CM-05; drain numbers Proposed in HZ-03 / CFG.</t>
  </si>
  <si>
    <t xml:space="preserve">Grid storage</t>
  </si>
  <si>
    <t xml:space="preserve">Dense or sparse?</t>
  </si>
  <si>
    <t xml:space="preserve">A) Dense [ASSUMED]  B) Sparse</t>
  </si>
  <si>
    <t xml:space="preserve">I would say sparse. Every sector here and there may have items to acquire by the ship, exotic and special items even rare</t>
  </si>
  <si>
    <t xml:space="preserve">Sparse → WG-00.</t>
  </si>
  <si>
    <t xml:space="preserve">Grid sizes &amp; coordinates</t>
  </si>
  <si>
    <t xml:space="preserve">M × N per level? Coordinate format?</t>
  </si>
  <si>
    <t xml:space="preserve">so in the grid terminal we can switch between views: current sector, current galaxy, universe. Ill let you figure out dimensions, but this should be configurable</t>
  </si>
  <si>
    <t xml:space="preserve">Sizes Proposed and configurable (VW-01…03, CFG). Coordinates Proposed (GRD-01).</t>
  </si>
  <si>
    <t xml:space="preserve">Cell occupancy</t>
  </si>
  <si>
    <t xml:space="preserve">Several things per cell? Binary systems?</t>
  </si>
  <si>
    <t xml:space="preserve">A) One terrain object + ships [ASSUMED]  B) Composite</t>
  </si>
  <si>
    <t xml:space="preserve">one star per cell (not in one cell) they can be close are far apart in the sector. Items can be in the same cell, along with ships. Just the stars need to be in separate cells</t>
  </si>
  <si>
    <t xml:space="preserve">One terrain object per cell; items and ships share → WG-03, SP-02, SYM-13/14.</t>
  </si>
  <si>
    <t xml:space="preserve">Special items</t>
  </si>
  <si>
    <t xml:space="preserve">Types? Rarity? Respawn? Pickup?</t>
  </si>
  <si>
    <t xml:space="preserve">special items have to be picked up by choice i.e. you enter a sector cell with a special item, you use scanners to detect what it is, then a choice to pick it up. Types ill let you come up with by looking at star trek and star wars types of material. Yes special items are rare, id say in the whole galaxy there are probably 10 special items, and in the whole galaxy 100 normal items</t>
  </si>
  <si>
    <t xml:space="preserve">Scan → choose → pickup (CMD-14/15, IT-04); 10 special / 100 normal per galaxy (SP-03); types Proposed (EL-01…12).</t>
  </si>
  <si>
    <t xml:space="preserve">World generation</t>
  </si>
  <si>
    <t xml:space="preserve">Seeded? Density? Safe start?</t>
  </si>
  <si>
    <t xml:space="preserve">A) Seeded, safe start [ASSUMED]  B) Fixed map</t>
  </si>
  <si>
    <t xml:space="preserve">Seeded</t>
  </si>
  <si>
    <t xml:space="preserve">Seeded → SP-01. Safe start Proposed (SP-05).</t>
  </si>
  <si>
    <t xml:space="preserve">Attributes and behaviour?</t>
  </si>
  <si>
    <t xml:space="preserve">like a black hole but less gravitational pull</t>
  </si>
  <si>
    <t xml:space="preserve">Black-hole-like, weaker → ST-02, HZ-06, calculator.</t>
  </si>
  <si>
    <t xml:space="preserve">Physics</t>
  </si>
  <si>
    <t xml:space="preserve">Radius or volume? f, g, h? Thresholds?</t>
  </si>
  <si>
    <t xml:space="preserve">Energy by volume (volume determined by radius). You determine the thresholds which can be configurable</t>
  </si>
  <si>
    <t xml:space="preserve">Volume → DQ-01/02. temp_scale, thresholds, colours Proposed with a live calculator on 7 Stellar.</t>
  </si>
  <si>
    <t xml:space="preserve">Wormholes</t>
  </si>
  <si>
    <t xml:space="preserve">Fixed pairs? Same galaxy? Survivable?</t>
  </si>
  <si>
    <t xml:space="preserve">fixed pairs set at seeding! Can end up in same galaxy or different galaxy. Ship can survive when it crosses through.</t>
  </si>
  <si>
    <t xml:space="preserve">Fixed pairs at seeding, any galaxy, survivable → ST-04, HZ-05.</t>
  </si>
  <si>
    <t xml:space="preserve">Combat model</t>
  </si>
  <si>
    <t xml:space="preserve">Range, weapons, destruction, rounds, loot, peace X%?</t>
  </si>
  <si>
    <t xml:space="preserve">come up with a solid recommendation here please</t>
  </si>
  <si>
    <t xml:space="preserve">Full recommendation on 13 Combat (CM-01…13, CB-01…03), all Proposed. Peace formula → chat question 4.</t>
  </si>
  <si>
    <t xml:space="preserve">Fleet &amp; AI</t>
  </si>
  <si>
    <t xml:space="preserve">Inactive ships? Limit? AI captains? Fleet battles?</t>
  </si>
  <si>
    <t xml:space="preserve">yes multiple ships can be in play in a battle, there can be a fleet. No limit I reckon, if multiple ships engage they they all engage in the same battle rules. Hope that is clear - let me know if not</t>
  </si>
  <si>
    <t xml:space="preserve">No limit; fleets fight as one → OV-08, FL-05, CM-12. Inactive-ship and AI-count defaults Proposed (FL-03, SP-06).</t>
  </si>
  <si>
    <t xml:space="preserve">Economy</t>
  </si>
  <si>
    <t xml:space="preserve">Gold / silver? Prices? Sinks? Upgrade map? Items per captain or ship?</t>
  </si>
  <si>
    <t xml:space="preserve">you can buy items with gold/silver. One gold coin is worth 20 silver coins. So gold is rarer than silver. Items are per captain. 
What do you mean by wealth sinks? Upgrade map?</t>
  </si>
  <si>
    <t xml:space="preserve">1 gold = 20 silver; buy items; items per captain → TR-01/04, SH-10, CP-04. Upgrade map, prices and the element catalogue are config sections (chat A17) → tab 12, CFG [upgrades] [prices] [elements].</t>
  </si>
  <si>
    <t xml:space="preserve">Endgame thresholds</t>
  </si>
  <si>
    <t xml:space="preserve">Thresholds; required items; the ultimate item?</t>
  </si>
  <si>
    <t xml:space="preserve">respect levels and fear levels are int. when reached to e.g. 90% on both, and enough gold and silver (you determine what values) then they are eligible to find the ultimate secret item which will be guardedi in a sector in a galaxy surrounded by ships which need to be battled. the location of the ultimate secret item can be set somewhere far from current location.</t>
  </si>
  <si>
    <t xml:space="preserve">Ints, 90 thresholds, wealth threshold Proposed, guarded far-away sector → EG-01…06, SP-08, CM-13.</t>
  </si>
  <si>
    <t xml:space="preserve">Win / lose</t>
  </si>
  <si>
    <t xml:space="preserve">Does the game end? Lose condition?</t>
  </si>
  <si>
    <t xml:space="preserve">Answered 2026-10-25. WIN: the game does not end; becoming Master of Starbour triggers a celebration and ceremony, then play carries on (D-07). LOSE: losing a battle loses the game and the player starts again (D-09). Definition of 'losing' → Q-29.</t>
  </si>
  <si>
    <t xml:space="preserve">Closed earlier (D-07, D-09).</t>
  </si>
  <si>
    <t xml:space="preserve">Grid zoom</t>
  </si>
  <si>
    <t xml:space="preserve">'view' command, auto-follow, both?</t>
  </si>
  <si>
    <t xml:space="preserve">A) Auto-follow + 'view' override [ASSUMED]</t>
  </si>
  <si>
    <t xml:space="preserve">A → GRD-02, CMD-05.</t>
  </si>
  <si>
    <t xml:space="preserve">Bus &amp; engine</t>
  </si>
  <si>
    <t xml:space="preserve">IPC? Separate engine process?</t>
  </si>
  <si>
    <t xml:space="preserve">A) Engine process + ZeroMQ [ASSUMED]  B) In-process queues</t>
  </si>
  <si>
    <t xml:space="preserve">A → BUS-03/04, T0.</t>
  </si>
  <si>
    <t xml:space="preserve">Food &amp; water</t>
  </si>
  <si>
    <t xml:space="preserve">What are they for?</t>
  </si>
  <si>
    <t xml:space="preserve">yes crew and captain consumption which is depleted every turn -1, so its important for the captain to purchase food and water when possible</t>
  </si>
  <si>
    <t xml:space="preserve">−1 per turn, buy from planets → IT-01/02, CP-07. At 0: mutiny (A11); move to another owned ship if any, else demotion (A19); mutineers become an AI captain (A18) → SUP-01…05, OUT-18.</t>
  </si>
  <si>
    <t xml:space="preserve">Q-20</t>
  </si>
  <si>
    <t xml:space="preserve">Crystal naming</t>
  </si>
  <si>
    <t xml:space="preserve">Original name for the powerful crystal?</t>
  </si>
  <si>
    <t xml:space="preserve">use real crystal names and mythical crystal names</t>
  </si>
  <si>
    <t xml:space="preserve">Real + mythical names → EL-01…12 Proposed.</t>
  </si>
  <si>
    <t xml:space="preserve">Attackable? Conquest? Regeneration?</t>
  </si>
  <si>
    <t xml:space="preserve">yes planets can be attacked and vice versa, e.g. if a planet prezident does not like the captain, or if the captain gets greedy or has good reason to battle, if a planet gets destroyed in battle then can take all resources, or a peace would ensure x% goes to the victor (i.e. the one who does not sought for peace) - hope there is no contradiction here, perhaps you can come up with a better suggestion otherwise</t>
  </si>
  <si>
    <t xml:space="preserve">Attackable both ways; destroyed = looted; peace X% to the side that did not sue → PR-02, CM-11, CB-03 (formula agreed, chat A12).</t>
  </si>
  <si>
    <t xml:space="preserve">How is stronger / weaker computed?</t>
  </si>
  <si>
    <t xml:space="preserve">stronger / weaker is determined by shields and weapons strength, fleet included yes since they act as one unit against the other</t>
  </si>
  <si>
    <t xml:space="preserve">Shields + weapons, fleet included → CM-08 (formula Proposed).</t>
  </si>
  <si>
    <t xml:space="preserve">Respect stacking</t>
  </si>
  <si>
    <t xml:space="preserve">Do FR-05 and FR-06 both apply?</t>
  </si>
  <si>
    <t xml:space="preserve">A) Both  B) Larger only</t>
  </si>
  <si>
    <t xml:space="preserve">option A</t>
  </si>
  <si>
    <t xml:space="preserve">A → FR-09.</t>
  </si>
  <si>
    <t xml:space="preserve">Effects of fear &amp; respect</t>
  </si>
  <si>
    <t xml:space="preserve">What do the levels change?</t>
  </si>
  <si>
    <t xml:space="preserve">all changes I imagine. Challenge me here and be clear what youre asking</t>
  </si>
  <si>
    <t xml:space="preserve">Split agreed in chat (A13): fear → ships yield, respect → planets comply → EF-00…06 (thresholds Proposed).</t>
  </si>
  <si>
    <t xml:space="preserve">Fourth terminal</t>
  </si>
  <si>
    <t xml:space="preserve">Three or four terminals?</t>
  </si>
  <si>
    <t xml:space="preserve">What is the purpose of the permanent status? Makes sense to show this, agreed</t>
  </si>
  <si>
    <t xml:space="preserve">T4 Status agreed → 5b T4 Status tab, T4 row.</t>
  </si>
  <si>
    <t xml:space="preserve">'Starbour'</t>
  </si>
  <si>
    <t xml:space="preserve">Universe name, title, or both?</t>
  </si>
  <si>
    <t xml:space="preserve">A) Universe + title [ASSUMED]  B) Title only</t>
  </si>
  <si>
    <t xml:space="preserve">no Starbour is a play on words of Harbour / Starshp. Master of Starbour means they win the ultimate secret item (need to come up with a good name like Crystal of Starbour or something like that, which will give the ultimate levels of weapons, shields, engine, warp, etc.)</t>
  </si>
  <si>
    <t xml:space="preserve">Pun, not a place; title comes with the ultimate item → OV-13; names Proposed (EG-05).</t>
  </si>
  <si>
    <t xml:space="preserve">Q-27</t>
  </si>
  <si>
    <t xml:space="preserve">Licence</t>
  </si>
  <si>
    <t xml:space="preserve">Which licence for the public repo?</t>
  </si>
  <si>
    <t xml:space="preserve">No license, perhaps we create one</t>
  </si>
  <si>
    <t xml:space="preserve">MIT — you asked Claude to choose (chat A20) → BR-04, D-50.</t>
  </si>
  <si>
    <t xml:space="preserve">Q-28</t>
  </si>
  <si>
    <t xml:space="preserve">Packaging</t>
  </si>
  <si>
    <t xml:space="preserve">PyInstaller mode, installer, signing, CI, file locations?</t>
  </si>
  <si>
    <t xml:space="preserve">A) One-folder zip on GitHub Releases, unsigned, config next to exe [ASSUMED]</t>
  </si>
  <si>
    <t xml:space="preserve">A → BR-14…20.</t>
  </si>
  <si>
    <t xml:space="preserve">What counts as losing</t>
  </si>
  <si>
    <t xml:space="preserve">Destroyed only? Escape / peace? Active or last ship? New seed? Reload?</t>
  </si>
  <si>
    <t xml:space="preserve">A) Active ship destroyed; new seed; no reload [ASSUMED]  B) Last ship  C) Any defeat</t>
  </si>
  <si>
    <t xml:space="preserve">only when ship is destroyed game is over.</t>
  </si>
  <si>
    <t xml:space="preserve">Destroyed only; the active ship (chat A10) → OV-09b, CB-04, FL-04.</t>
  </si>
  <si>
    <t xml:space="preserve">Visible from the start or revealed?</t>
  </si>
  <si>
    <t xml:space="preserve">A) Sector hidden until visited [ASSUMED]  B) All visible  C) All hidden</t>
  </si>
  <si>
    <t xml:space="preserve">could we have an option which is configurable to do A or B?</t>
  </si>
  <si>
    <t xml:space="preserve">Configurable A / B → GRD-04, CFG fog_of_war.</t>
  </si>
  <si>
    <t xml:space="preserve">Live or once per turn?</t>
  </si>
  <si>
    <t xml:space="preserve">A) Once per turn.resolved [ASSUMED]  B) Live</t>
  </si>
  <si>
    <t xml:space="preserve">Resolved oncer per turn resolved</t>
  </si>
  <si>
    <t xml:space="preserve">Once per turn → BUS-05, GRD-06.</t>
  </si>
  <si>
    <t xml:space="preserve">Launcher lifecycle</t>
  </si>
  <si>
    <t xml:space="preserve">Who opens / closes the terminals?</t>
  </si>
  <si>
    <t xml:space="preserve">A) Launcher owns children [ASSUMED]</t>
  </si>
  <si>
    <t xml:space="preserve">A → TL, BUS-06.</t>
  </si>
  <si>
    <t xml:space="preserve">Slots? Autosave? Reload after loss?</t>
  </si>
  <si>
    <t xml:space="preserve">A) Autosave, one slot, deleted on game over [ASSUMED]  B) Manual</t>
  </si>
  <si>
    <t xml:space="preserve">A → OV-12, OV-09c, CMD-19.</t>
  </si>
  <si>
    <t xml:space="preserve">Errors &amp; confirmations</t>
  </si>
  <si>
    <t xml:space="preserve">Where do errors appear? What confirms?</t>
  </si>
  <si>
    <t xml:space="preserve">A) Inline on T1 + T3 echo; confirm fights and quit [ASSUMED]</t>
  </si>
  <si>
    <t xml:space="preserve">A → UX-03/04, OUT-13.</t>
  </si>
  <si>
    <t xml:space="preserve">Turns to mastery? Battle frequency?</t>
  </si>
  <si>
    <t xml:space="preserve">Battle can happen on average say 5-7 turns, can be longer or shorter. Mastery is achieved once the ultimate secret item is obtained, that could take a long time, e.g. 100 turns maybe longer, maybe a bit shorter say 70 turns</t>
  </si>
  <si>
    <t xml:space="preserve">Rough feel only — no fixed turn counts (chat A15). All numbers are placeholders tuned by playtest → OV-11, LV-05.</t>
  </si>
  <si>
    <t xml:space="preserve">Fear &amp; respect — extra events</t>
  </si>
  <si>
    <t xml:space="preserve">Mercy, escape, decay, visibility?</t>
  </si>
  <si>
    <t xml:space="preserve">A) None extra, no decay, visible in sector [ASSUMED]</t>
  </si>
  <si>
    <t xml:space="preserve">A → FR-10, LV-04.</t>
  </si>
  <si>
    <t xml:space="preserve">What does it look like? What changes after?</t>
  </si>
  <si>
    <t xml:space="preserve">something fancy with nice terminal graphics of fireworks and big smart art words. Nothing changes afterwards except respect and fear are maximum levels along with weapons, shields, etc. 
Remember ships and planets will be more compliant with these levels so nothing really changes - hope that makes sense</t>
  </si>
  <si>
    <t xml:space="preserve">Fireworks + ASCII title; nothing else changes → OUT-15, EG-08, EF-06.</t>
  </si>
  <si>
    <t xml:space="preserve">17 · Decisions</t>
  </si>
  <si>
    <t xml:space="preserve">Settled decisions only. Exported to DECISIONS.md when the build kit is produced.</t>
  </si>
  <si>
    <t xml:space="preserve">Date</t>
  </si>
  <si>
    <t xml:space="preserve">Decision</t>
  </si>
  <si>
    <t xml:space="preserve">Rationale / source</t>
  </si>
  <si>
    <t xml:space="preserve">Ref</t>
  </si>
  <si>
    <t xml:space="preserve">D-01</t>
  </si>
  <si>
    <t xml:space="preserve">2026-10-25</t>
  </si>
  <si>
    <t xml:space="preserve">Python 3.12, shipped as a Windows 10/11 executable.</t>
  </si>
  <si>
    <t xml:space="preserve">Project fixed facts.</t>
  </si>
  <si>
    <t xml:space="preserve">D-02</t>
  </si>
  <si>
    <t xml:space="preserve">One command terminal plus output terminals over a local message bus; one process per terminal, threads within.</t>
  </si>
  <si>
    <t xml:space="preserve">BP r15–21; Project.</t>
  </si>
  <si>
    <t xml:space="preserve">BUS-01, BUS-02</t>
  </si>
  <si>
    <t xml:space="preserve">D-03</t>
  </si>
  <si>
    <t xml:space="preserve">All names are original; no franchise lore.</t>
  </si>
  <si>
    <t xml:space="preserve">Project instructions.</t>
  </si>
  <si>
    <t xml:space="preserve">D-04</t>
  </si>
  <si>
    <t xml:space="preserve">The game is called Master of Starbour.</t>
  </si>
  <si>
    <t xml:space="preserve">Chat A1.</t>
  </si>
  <si>
    <t xml:space="preserve">BR-01</t>
  </si>
  <si>
    <t xml:space="preserve">D-05</t>
  </si>
  <si>
    <t xml:space="preserve">Repository git@github.com:selphaware/master-of-starbour.git — public; source code and installable package.</t>
  </si>
  <si>
    <t xml:space="preserve">Chat A2–A3.</t>
  </si>
  <si>
    <t xml:space="preserve">BR-02, BR-03</t>
  </si>
  <si>
    <t xml:space="preserve">D-06</t>
  </si>
  <si>
    <t xml:space="preserve">Delivered as a downloadable executable package for Windows.</t>
  </si>
  <si>
    <t xml:space="preserve">Chat A3.</t>
  </si>
  <si>
    <t xml:space="preserve">BR-13</t>
  </si>
  <si>
    <t xml:space="preserve">D-07</t>
  </si>
  <si>
    <t xml:space="preserve">The game never ends on success: mastery triggers a celebration and ceremony, then play carries on.</t>
  </si>
  <si>
    <t xml:space="preserve">Chat A4.</t>
  </si>
  <si>
    <t xml:space="preserve">D-08</t>
  </si>
  <si>
    <t xml:space="preserve">Dev environment: root E:\CODE\master-of-starbour; venv MOS; python E:\CODE\master-of-starbour\MOS\Scripts\python.exe.</t>
  </si>
  <si>
    <t xml:space="preserve">Chat A5–A6.</t>
  </si>
  <si>
    <t xml:space="preserve">BR-06…08</t>
  </si>
  <si>
    <t xml:space="preserve">D-09</t>
  </si>
  <si>
    <t xml:space="preserve">Losing a battle loses the game; the player starts again.</t>
  </si>
  <si>
    <t xml:space="preserve">Chat A6.</t>
  </si>
  <si>
    <t xml:space="preserve">D-10</t>
  </si>
  <si>
    <t xml:space="preserve">The repo is public; git operations over SSH.</t>
  </si>
  <si>
    <t xml:space="preserve">Chat A7.</t>
  </si>
  <si>
    <t xml:space="preserve">BR-23</t>
  </si>
  <si>
    <t xml:space="preserve">D-11</t>
  </si>
  <si>
    <t xml:space="preserve">The game is colourful: every terminal uses colour throughout.</t>
  </si>
  <si>
    <t xml:space="preserve">Chat A8.</t>
  </si>
  <si>
    <t xml:space="preserve">OV-01, UX-08</t>
  </si>
  <si>
    <t xml:space="preserve">D-12</t>
  </si>
  <si>
    <t xml:space="preserve">Turns resolve simultaneously for all captains in the fixed phase order TP-01…08.</t>
  </si>
  <si>
    <t xml:space="preserve">Ans Q-01.</t>
  </si>
  <si>
    <t xml:space="preserve">D-13</t>
  </si>
  <si>
    <t xml:space="preserve">Impulse 1 = 1 sector cell per turn, linear; warp reach grows exponentially with the factor; warp 10 = anywhere; gravity pull nets against speed.</t>
  </si>
  <si>
    <t xml:space="preserve">Ans Q-02.</t>
  </si>
  <si>
    <t xml:space="preserve">MV-01…03</t>
  </si>
  <si>
    <t xml:space="preserve">D-14</t>
  </si>
  <si>
    <t xml:space="preserve">Falling into a star or black hole is fatal if the ship does not get out in time; black holes allow less time and need more engine power.</t>
  </si>
  <si>
    <t xml:space="preserve">HZ-02, HZ-04</t>
  </si>
  <si>
    <t xml:space="preserve">D-15</t>
  </si>
  <si>
    <t xml:space="preserve">At 0 shields the next hit destroys the ship; there is no separate hull stat.</t>
  </si>
  <si>
    <t xml:space="preserve">Ans Q-03.</t>
  </si>
  <si>
    <t xml:space="preserve">HZ-09, SH-07</t>
  </si>
  <si>
    <t xml:space="preserve">D-16</t>
  </si>
  <si>
    <t xml:space="preserve">Grids are sparse.</t>
  </si>
  <si>
    <t xml:space="preserve">Ans Q-04.</t>
  </si>
  <si>
    <t xml:space="preserve">D-17</t>
  </si>
  <si>
    <t xml:space="preserve">Grid dimensions are config keys; the Grid terminal switches between sector, galaxy and universe views.</t>
  </si>
  <si>
    <t xml:space="preserve">Ans Q-05.</t>
  </si>
  <si>
    <t xml:space="preserve">D-18</t>
  </si>
  <si>
    <t xml:space="preserve">One star (or hole / planet) per cell; binary systems are stars in adjacent cells; items and ships share cells.</t>
  </si>
  <si>
    <t xml:space="preserve">Ans Q-06.</t>
  </si>
  <si>
    <t xml:space="preserve">WG-03, SP-02</t>
  </si>
  <si>
    <t xml:space="preserve">D-19</t>
  </si>
  <si>
    <t xml:space="preserve">Items are picked up by choice: enter the cell, scan, then pick up. About 10 special and 100 normal items per galaxy.</t>
  </si>
  <si>
    <t xml:space="preserve">Ans Q-07.</t>
  </si>
  <si>
    <t xml:space="preserve">IT-04, SP-03</t>
  </si>
  <si>
    <t xml:space="preserve">D-20</t>
  </si>
  <si>
    <t xml:space="preserve">The world is generated from a seed; wormhole pairs are fixed at seeding and may cross galaxies; ships survive the crossing.</t>
  </si>
  <si>
    <t xml:space="preserve">Ans Q-08, Q-11.</t>
  </si>
  <si>
    <t xml:space="preserve">SP-01, ST-04</t>
  </si>
  <si>
    <t xml:space="preserve">D-21</t>
  </si>
  <si>
    <t xml:space="preserve">A neutron star behaves like a black hole with weaker pull.</t>
  </si>
  <si>
    <t xml:space="preserve">Ans Q-09.</t>
  </si>
  <si>
    <t xml:space="preserve">D-22</t>
  </si>
  <si>
    <t xml:space="preserve">Energy = base_energy × volume (from radius); thresholds are config keys.</t>
  </si>
  <si>
    <t xml:space="preserve">Ans Q-10.</t>
  </si>
  <si>
    <t xml:space="preserve">DQ-01, DQ-02</t>
  </si>
  <si>
    <t xml:space="preserve">D-23</t>
  </si>
  <si>
    <t xml:space="preserve">Fleets have no size limit; all ships in range fight under the same rules; strength counts the whole fleet (shields + weapons).</t>
  </si>
  <si>
    <t xml:space="preserve">Ans Q-13, Q-22.</t>
  </si>
  <si>
    <t xml:space="preserve">FL-05, CM-08</t>
  </si>
  <si>
    <t xml:space="preserve">D-24</t>
  </si>
  <si>
    <t xml:space="preserve">1 gold = 20 silver; items are bought with coins; items belong to the captain.</t>
  </si>
  <si>
    <t xml:space="preserve">Ans Q-14.</t>
  </si>
  <si>
    <t xml:space="preserve">TR-01, CP-04</t>
  </si>
  <si>
    <t xml:space="preserve">D-25</t>
  </si>
  <si>
    <t xml:space="preserve">Fear and respect are ints 0–100. Eligibility: both ≥ 90 plus a wealth threshold. The ultimate secret item is guarded by ships in a sector far from the captain.</t>
  </si>
  <si>
    <t xml:space="preserve">Ans Q-15.</t>
  </si>
  <si>
    <t xml:space="preserve">EG-01…06</t>
  </si>
  <si>
    <t xml:space="preserve">D-26</t>
  </si>
  <si>
    <t xml:space="preserve">Grid auto-follows the active ship; 'view' overrides.</t>
  </si>
  <si>
    <t xml:space="preserve">Ans Q-17.</t>
  </si>
  <si>
    <t xml:space="preserve">D-27</t>
  </si>
  <si>
    <t xml:space="preserve">Separate engine process; ZeroMQ pub/sub on localhost.</t>
  </si>
  <si>
    <t xml:space="preserve">Ans Q-18.</t>
  </si>
  <si>
    <t xml:space="preserve">D-28</t>
  </si>
  <si>
    <t xml:space="preserve">Food and water are consumed −1 each per turn and bought from planets.</t>
  </si>
  <si>
    <t xml:space="preserve">Ans Q-19.</t>
  </si>
  <si>
    <t xml:space="preserve">D-29</t>
  </si>
  <si>
    <t xml:space="preserve">Elements use real and mythical crystal / mineral names.</t>
  </si>
  <si>
    <t xml:space="preserve">Ans Q-20.</t>
  </si>
  <si>
    <t xml:space="preserve">EL-*</t>
  </si>
  <si>
    <t xml:space="preserve">D-30</t>
  </si>
  <si>
    <t xml:space="preserve">Planets can attack and be attacked; a destroyed planet is fully looted; on peace a share goes to the side that did not sue for peace.</t>
  </si>
  <si>
    <t xml:space="preserve">Ans Q-21.</t>
  </si>
  <si>
    <t xml:space="preserve">PR-02, CB-03</t>
  </si>
  <si>
    <t xml:space="preserve">D-31</t>
  </si>
  <si>
    <t xml:space="preserve">Respect penalties FR-05 and FR-06 both apply (stack).</t>
  </si>
  <si>
    <t xml:space="preserve">Ans Q-23.</t>
  </si>
  <si>
    <t xml:space="preserve">D-32</t>
  </si>
  <si>
    <t xml:space="preserve">Four terminals: T1 Command, T2 Grid, T3 Output, T4 Status.</t>
  </si>
  <si>
    <t xml:space="preserve">Ans Q-25.</t>
  </si>
  <si>
    <t xml:space="preserve">D-33</t>
  </si>
  <si>
    <t xml:space="preserve">'Starbour' is a pun on harbour / starship; the title Master of Starbour is won with the ultimate secret item.</t>
  </si>
  <si>
    <t xml:space="preserve">Ans Q-26.</t>
  </si>
  <si>
    <t xml:space="preserve">D-34</t>
  </si>
  <si>
    <t xml:space="preserve">Packaging: PyInstaller one-folder, zipped, GitHub Releases, unsigned at first, config next to the exe.</t>
  </si>
  <si>
    <t xml:space="preserve">Ans Q-28.</t>
  </si>
  <si>
    <t xml:space="preserve">BR-14…20</t>
  </si>
  <si>
    <t xml:space="preserve">D-35</t>
  </si>
  <si>
    <t xml:space="preserve">Game over only when the player's ship is destroyed.</t>
  </si>
  <si>
    <t xml:space="preserve">Ans Q-29.</t>
  </si>
  <si>
    <t xml:space="preserve">D-36</t>
  </si>
  <si>
    <t xml:space="preserve">Fog of war is a config switch (on / off).</t>
  </si>
  <si>
    <t xml:space="preserve">Ans Q-30.</t>
  </si>
  <si>
    <t xml:space="preserve">D-37</t>
  </si>
  <si>
    <t xml:space="preserve">Terminals redraw once per resolved turn.</t>
  </si>
  <si>
    <t xml:space="preserve">Ans Q-31.</t>
  </si>
  <si>
    <t xml:space="preserve">D-38</t>
  </si>
  <si>
    <t xml:space="preserve">Launcher owns all processes; closing T1 or the launcher ends the game; closing another window reopens it.</t>
  </si>
  <si>
    <t xml:space="preserve">Ans Q-32.</t>
  </si>
  <si>
    <t xml:space="preserve">D-39</t>
  </si>
  <si>
    <t xml:space="preserve">Autosave every turn, one slot per game, save deleted on game over; new game = new seed.</t>
  </si>
  <si>
    <t xml:space="preserve">Ans Q-33.</t>
  </si>
  <si>
    <t xml:space="preserve">D-40</t>
  </si>
  <si>
    <t xml:space="preserve">Errors inline on T1 and echoed to T3; confirmations for starting a fight and quitting.</t>
  </si>
  <si>
    <t xml:space="preserve">Ans Q-34.</t>
  </si>
  <si>
    <t xml:space="preserve">UX-03/04</t>
  </si>
  <si>
    <t xml:space="preserve">D-41</t>
  </si>
  <si>
    <t xml:space="preserve">Pacing target: a battle every 5–7 turns; mastery after ~70–100 turns.</t>
  </si>
  <si>
    <t xml:space="preserve">Ans Q-35.</t>
  </si>
  <si>
    <t xml:space="preserve">D-42</t>
  </si>
  <si>
    <t xml:space="preserve">No extra fear / respect events, no decay; levels visible for captains in the same sector.</t>
  </si>
  <si>
    <t xml:space="preserve">Ans Q-36.</t>
  </si>
  <si>
    <t xml:space="preserve">D-43</t>
  </si>
  <si>
    <t xml:space="preserve">Mastery ceremony: fireworks and big ASCII-art title; afterwards nothing changes except maxed levels and universal compliance.</t>
  </si>
  <si>
    <t xml:space="preserve">Ans Q-37.</t>
  </si>
  <si>
    <t xml:space="preserve">OUT-15, EF-06</t>
  </si>
  <si>
    <t xml:space="preserve">D-44</t>
  </si>
  <si>
    <t xml:space="preserve">Fractional impulse speed is floored: engine 2.5 moves 2 cells; the fraction only matters against gravity pull.</t>
  </si>
  <si>
    <t xml:space="preserve">Chat A9.</t>
  </si>
  <si>
    <t xml:space="preserve">D-45</t>
  </si>
  <si>
    <t xml:space="preserve">Game over when the player's active ship is destroyed; other owned ships do not save the run.</t>
  </si>
  <si>
    <t xml:space="preserve">Chat A10.</t>
  </si>
  <si>
    <t xml:space="preserve">OV-09b, FL-04</t>
  </si>
  <si>
    <t xml:space="preserve">D-46</t>
  </si>
  <si>
    <t xml:space="preserve">On peace, the victor is the side that did not offer it; X = victor's shield advantage as a fraction × peace_loot_max, floored at 0.</t>
  </si>
  <si>
    <t xml:space="preserve">Chat A12; resolves BP r108 vs Ans Q-21.</t>
  </si>
  <si>
    <t xml:space="preserve">D-47</t>
  </si>
  <si>
    <t xml:space="preserve">At zero food or water the crew mutiny and the captain is demoted to a low-class ship. It is not game over.</t>
  </si>
  <si>
    <t xml:space="preserve">Chat A11.</t>
  </si>
  <si>
    <t xml:space="preserve">D-48</t>
  </si>
  <si>
    <t xml:space="preserve">Fear acts on ships (AI captains yield); respect acts on planets (they comply).</t>
  </si>
  <si>
    <t xml:space="preserve">Chat A13.</t>
  </si>
  <si>
    <t xml:space="preserve">D-49</t>
  </si>
  <si>
    <t xml:space="preserve">No fixed turn counts for pacing or thresholds; every number is a placeholder tuned by playtest.</t>
  </si>
  <si>
    <t xml:space="preserve">Chat A15, A16.</t>
  </si>
  <si>
    <t xml:space="preserve">OV-11, LV-05</t>
  </si>
  <si>
    <t xml:space="preserve">D-50</t>
  </si>
  <si>
    <t xml:space="preserve">Licence: MIT. Chosen by Claude at Usman's request.</t>
  </si>
  <si>
    <t xml:space="preserve">Chat A14, A20.</t>
  </si>
  <si>
    <t xml:space="preserve">BR-04, KIT-10</t>
  </si>
  <si>
    <t xml:space="preserve">D-51</t>
  </si>
  <si>
    <t xml:space="preserve">On a mutiny the captain moves to another owned ship if there is one; only if none is available is the captain demoted to a low-class ship.</t>
  </si>
  <si>
    <t xml:space="preserve">Chat A19.</t>
  </si>
  <si>
    <t xml:space="preserve">SUP-04, SUP-04b</t>
  </si>
  <si>
    <t xml:space="preserve">D-52</t>
  </si>
  <si>
    <t xml:space="preserve">Mutineers keep the taken ship and become a new AI captain.</t>
  </si>
  <si>
    <t xml:space="preserve">Chat A18.</t>
  </si>
  <si>
    <t xml:space="preserve">D-53</t>
  </si>
  <si>
    <t xml:space="preserve">The upgrade map, the price list and the element catalogue are configuration read from controls_config.ini ([upgrades], [prices], [elements]); values are Claude's placeholders, changeable outside the game.</t>
  </si>
  <si>
    <t xml:space="preserve">Chat A17.</t>
  </si>
  <si>
    <t xml:space="preserve">TR-05, UP-*, PRC-*, EL-*</t>
  </si>
  <si>
    <t xml:space="preserve">18 · Build &amp; release</t>
  </si>
  <si>
    <t xml:space="preserve">Project identity, dev environment, packaging and distribution, build-kit files</t>
  </si>
  <si>
    <t xml:space="preserve">Project identity</t>
  </si>
  <si>
    <t xml:space="preserve">Value / current thinking</t>
  </si>
  <si>
    <t xml:space="preserve">Game name</t>
  </si>
  <si>
    <t xml:space="preserve">Master of Starbour</t>
  </si>
  <si>
    <t xml:space="preserve">Chat A1</t>
  </si>
  <si>
    <t xml:space="preserve">BR-02</t>
  </si>
  <si>
    <t xml:space="preserve">git@github.com:selphaware/master-of-starbour.git</t>
  </si>
  <si>
    <t xml:space="preserve">Public. HTTPS for the README: https://github.com/selphaware/master-of-starbour</t>
  </si>
  <si>
    <t xml:space="preserve">Chat A2, A7</t>
  </si>
  <si>
    <t xml:space="preserve">BR-03</t>
  </si>
  <si>
    <t xml:space="preserve">Repo contents</t>
  </si>
  <si>
    <t xml:space="preserve">Public. Source code and the installable package.</t>
  </si>
  <si>
    <t xml:space="preserve">Chat A3</t>
  </si>
  <si>
    <t xml:space="preserve">BR-04</t>
  </si>
  <si>
    <t xml:space="preserve">MIT. Chosen by Claude at your request: anyone may use, modify, redistribute and sell, with attribution and no warranty. LICENSE file at the repo root, copyright holder Usman Ahmad.</t>
  </si>
  <si>
    <t xml:space="preserve">Not legal advice.</t>
  </si>
  <si>
    <t xml:space="preserve">Chat A14, A20; Claude</t>
  </si>
  <si>
    <t xml:space="preserve">BR-05</t>
  </si>
  <si>
    <t xml:space="preserve">Package / import name</t>
  </si>
  <si>
    <t xml:space="preserve">mos</t>
  </si>
  <si>
    <t xml:space="preserve">Short; matches the venv name.</t>
  </si>
  <si>
    <t xml:space="preserve">Git access</t>
  </si>
  <si>
    <t xml:space="preserve">SSH for all git operations; scripts and CLAUDE.md use the SSH remote.</t>
  </si>
  <si>
    <t xml:space="preserve">Chat A7</t>
  </si>
  <si>
    <t xml:space="preserve">Development environment</t>
  </si>
  <si>
    <t xml:space="preserve">BR-06</t>
  </si>
  <si>
    <t xml:space="preserve">Project root</t>
  </si>
  <si>
    <t xml:space="preserve">Confirmed.</t>
  </si>
  <si>
    <t xml:space="preserve">BR-07</t>
  </si>
  <si>
    <t xml:space="preserve">Virtual environment</t>
  </si>
  <si>
    <t xml:space="preserve">MOS — E:\CODE\master-of-starbour\MOS</t>
  </si>
  <si>
    <t xml:space="preserve">BR-08</t>
  </si>
  <si>
    <t xml:space="preserve">Python executable</t>
  </si>
  <si>
    <t xml:space="preserve">E:\CODE\master-of-starbour\MOS\Scripts\python.exe</t>
  </si>
  <si>
    <t xml:space="preserve">BR-09</t>
  </si>
  <si>
    <t xml:space="preserve">Python version</t>
  </si>
  <si>
    <t xml:space="preserve">3.12</t>
  </si>
  <si>
    <t xml:space="preserve">BR-10</t>
  </si>
  <si>
    <t xml:space="preserve">Dependencies</t>
  </si>
  <si>
    <t xml:space="preserve">rich, prompt_toolkit, pyzmq, pytest, pyinstaller (pyproject.toml).</t>
  </si>
  <si>
    <t xml:space="preserve">Ans Q-18; Claude</t>
  </si>
  <si>
    <t xml:space="preserve">BR-11</t>
  </si>
  <si>
    <t xml:space="preserve">Test runner</t>
  </si>
  <si>
    <t xml:space="preserve">pytest</t>
  </si>
  <si>
    <t xml:space="preserve">BR-12</t>
  </si>
  <si>
    <t xml:space="preserve">Build machine</t>
  </si>
  <si>
    <t xml:space="preserve">Your Windows workstation (option A); CI later if wanted.</t>
  </si>
  <si>
    <t xml:space="preserve">Ans Q-28</t>
  </si>
  <si>
    <t xml:space="preserve">Packaging &amp; distribution</t>
  </si>
  <si>
    <t xml:space="preserve">Downloadable executable package for Windows 10/11.</t>
  </si>
  <si>
    <t xml:space="preserve">Chat A3; Project</t>
  </si>
  <si>
    <t xml:space="preserve">BR-14</t>
  </si>
  <si>
    <t xml:space="preserve">Packaging tool</t>
  </si>
  <si>
    <t xml:space="preserve">PyInstaller, one-folder build.</t>
  </si>
  <si>
    <t xml:space="preserve">BR-15</t>
  </si>
  <si>
    <t xml:space="preserve">Multi-process launch</t>
  </si>
  <si>
    <t xml:space="preserve">mos.exe (launcher) spawns engine + four terminals as new console windows, each 'mos.exe --role &lt;engine|command|grid|output|status&gt;'.</t>
  </si>
  <si>
    <t xml:space="preserve">Build gates: 'exe opens and exits', 'orphaned processes'.</t>
  </si>
  <si>
    <t xml:space="preserve">Ans Q-32; Claude</t>
  </si>
  <si>
    <t xml:space="preserve">BR-16</t>
  </si>
  <si>
    <t xml:space="preserve">Installer format</t>
  </si>
  <si>
    <t xml:space="preserve">Zip of the one-folder build.</t>
  </si>
  <si>
    <t xml:space="preserve">BR-17</t>
  </si>
  <si>
    <t xml:space="preserve">Release channel</t>
  </si>
  <si>
    <t xml:space="preserve">GitHub Releases on the repo.</t>
  </si>
  <si>
    <t xml:space="preserve">BR-18</t>
  </si>
  <si>
    <t xml:space="preserve">Versioning</t>
  </si>
  <si>
    <t xml:space="preserve">Semver; git tag per release; version shown on T4.</t>
  </si>
  <si>
    <t xml:space="preserve">BR-19</t>
  </si>
  <si>
    <t xml:space="preserve">Code signing</t>
  </si>
  <si>
    <t xml:space="preserve">Unsigned at first — downloaders will see a SmartScreen warning; document it in the README.</t>
  </si>
  <si>
    <t xml:space="preserve">BR-20</t>
  </si>
  <si>
    <t xml:space="preserve">controls_config.ini location</t>
  </si>
  <si>
    <t xml:space="preserve">Next to the exe.</t>
  </si>
  <si>
    <t xml:space="preserve">BR-21</t>
  </si>
  <si>
    <t xml:space="preserve">Save-game location</t>
  </si>
  <si>
    <t xml:space="preserve">Next to the exe (saves/).</t>
  </si>
  <si>
    <t xml:space="preserve">Ans Q-33; Claude</t>
  </si>
  <si>
    <t xml:space="preserve">BR-22</t>
  </si>
  <si>
    <t xml:space="preserve">Public README</t>
  </si>
  <si>
    <t xml:space="preserve">How to play, SmartScreen note, how to build from source, MIT licence line.</t>
  </si>
  <si>
    <t xml:space="preserve">Build-kit files this Project will produce</t>
  </si>
  <si>
    <t xml:space="preserve">Status = whether the file exists yet.</t>
  </si>
  <si>
    <t xml:space="preserve">File</t>
  </si>
  <si>
    <t xml:space="preserve">KIT-01</t>
  </si>
  <si>
    <t xml:space="preserve">DESIGN.md / PRD</t>
  </si>
  <si>
    <t xml:space="preserve">Design document generated from this workbook.</t>
  </si>
  <si>
    <t xml:space="preserve">KIT-02</t>
  </si>
  <si>
    <t xml:space="preserve">BOOTSTRAP.md</t>
  </si>
  <si>
    <t xml:space="preserve">First prompt for Claude Code.</t>
  </si>
  <si>
    <t xml:space="preserve">KIT-03</t>
  </si>
  <si>
    <t xml:space="preserve">CLAUDE.md</t>
  </si>
  <si>
    <t xml:space="preserve">Standing instructions in the repo.</t>
  </si>
  <si>
    <t xml:space="preserve">KIT-04</t>
  </si>
  <si>
    <t xml:space="preserve">SETUP.md</t>
  </si>
  <si>
    <t xml:space="preserve">Python 3.12, venv MOS, dependencies.</t>
  </si>
  <si>
    <t xml:space="preserve">KIT-05</t>
  </si>
  <si>
    <t xml:space="preserve">DECISIONS.md</t>
  </si>
  <si>
    <t xml:space="preserve">Exported from 17 Decisions.</t>
  </si>
  <si>
    <t xml:space="preserve">KIT-06</t>
  </si>
  <si>
    <t xml:space="preserve">controls_config.ini</t>
  </si>
  <si>
    <t xml:space="preserve">Generated from 15 Config Keys.</t>
  </si>
  <si>
    <t xml:space="preserve">BP r111</t>
  </si>
  <si>
    <t xml:space="preserve">KIT-07</t>
  </si>
  <si>
    <t xml:space="preserve">Milestone specs</t>
  </si>
  <si>
    <t xml:space="preserve">M1 engine + bus + grids; M2 movement + hazards; M3 combat + reputation; M4 trade + items + endgame; M5 packaging.</t>
  </si>
  <si>
    <t xml:space="preserve">KIT-08</t>
  </si>
  <si>
    <t xml:space="preserve">build.ps1 / launch.ps1</t>
  </si>
  <si>
    <t xml:space="preserve">Build the exe; launch the processes.</t>
  </si>
  <si>
    <t xml:space="preserve">KIT-10</t>
  </si>
  <si>
    <t xml:space="preserve">LICENSE</t>
  </si>
  <si>
    <t xml:space="preserve">MIT licence text with the copyright line.</t>
  </si>
  <si>
    <t xml:space="preserve">Chat A20</t>
  </si>
  <si>
    <t xml:space="preserve">KIT-09</t>
  </si>
  <si>
    <t xml:space="preserve">Gates / harness</t>
  </si>
  <si>
    <t xml:space="preserve">Turns advance; AI acts; viewports fresh; no orphans; exe runs; game over fires on destruction; mutiny fires at zero supplies; mastery fires. Includes an AI-only run-to-completion check (robustness, not a pacing target).</t>
  </si>
  <si>
    <t xml:space="preserve">Project; Chat A15</t>
  </si>
  <si>
    <t xml:space="preserve">Source v1 — your blueprint, verbatim</t>
  </si>
  <si>
    <t xml:space="preserve">Do not edit. 'BP rNN' = row NN below. 'Chat An' = addendum rows. 'Ans Q-xx' = your answer on tab 16.</t>
  </si>
  <si>
    <t xml:space="preserve">Row</t>
  </si>
  <si>
    <t xml:space="preserve">Text</t>
  </si>
  <si>
    <t xml:space="preserve">Game Type</t>
  </si>
  <si>
    <t xml:space="preserve">Text based game</t>
  </si>
  <si>
    <t xml:space="preserve">Turn based game i.e. user enters a bunch of inputs (could be many inputs, think of star trek birth of the federation), then turn execution</t>
  </si>
  <si>
    <t xml:space="preserve">User/player starts off with a starship, where they can explore the universe (universe --&gt; galaxies --&gt; sectors --&gt; stars/planets/ships/objects)</t>
  </si>
  <si>
    <t xml:space="preserve">The user player is the captain of the ship they have, more details on the ship and universe later</t>
  </si>
  <si>
    <t xml:space="preserve">Ships can battle with each other.</t>
  </si>
  <si>
    <t xml:space="preserve">Captains can gain wealth and special items.</t>
  </si>
  <si>
    <t xml:space="preserve">Once a certain level of wealth, respect and fear and specific items are obtained, they will be eligible to find the ultimate secret item (I need more thought on what the name can be here), which will allow them to have infinite wealth and max weapons and max shields and max engine/warpcore, then they can continue with the game with these max super powers.</t>
  </si>
  <si>
    <t xml:space="preserve">A captain, during the game, may have more than one ship and the terminal will allow the user player to switch between their ships.</t>
  </si>
  <si>
    <t xml:space="preserve">Terminal Based Game</t>
  </si>
  <si>
    <t xml:space="preserve">One terminal for commands</t>
  </si>
  <si>
    <t xml:space="preserve">One to show the grid (either at universe level, galaxy level, sector level)</t>
  </si>
  <si>
    <t xml:space="preserve">One for output/results/info</t>
  </si>
  <si>
    <t xml:space="preserve">I am envisioning a MQ/BUS connecting all terminals in real-time (see basic diagram on the right) | MQ / BUS</t>
  </si>
  <si>
    <t xml:space="preserve">i.e.</t>
  </si>
  <si>
    <t xml:space="preserve">Grid | Output | Terminal</t>
  </si>
  <si>
    <t xml:space="preserve">Classes</t>
  </si>
  <si>
    <t xml:space="preserve">This section outlines the various objects and relationships and structures in the game</t>
  </si>
  <si>
    <t xml:space="preserve">General Grid Class: something like a list of lists perhaps, or something more efficient i.e. a matrix of somesort</t>
  </si>
  <si>
    <t xml:space="preserve">General Grid is a M x N matrix</t>
  </si>
  <si>
    <t xml:space="preserve">Universe Grid</t>
  </si>
  <si>
    <t xml:space="preserve">Universe = {Galaxy(s), Void(s)}</t>
  </si>
  <si>
    <t xml:space="preserve">Each cell = either a Galaxy or Void</t>
  </si>
  <si>
    <t xml:space="preserve">Galaxy Grid</t>
  </si>
  <si>
    <t xml:space="preserve">Galaxy = {Sector(s), Void(s)}</t>
  </si>
  <si>
    <t xml:space="preserve">Each cell = either a Sector or Void</t>
  </si>
  <si>
    <t xml:space="preserve">Sector Grid</t>
  </si>
  <si>
    <t xml:space="preserve">Sector = { Stellar Object(s), Planet(s), Ship(s), Special Items(s), Void(s) }</t>
  </si>
  <si>
    <t xml:space="preserve">Each cell = either stellar object or planet or special item or void</t>
  </si>
  <si>
    <t xml:space="preserve">Special items are somewhat rare and shouldn’t be expected in every sector</t>
  </si>
  <si>
    <t xml:space="preserve">There may be binary star systems or even triple</t>
  </si>
  <si>
    <t xml:space="preserve">Stellar Class</t>
  </si>
  <si>
    <t xml:space="preserve">Stellar Types = {Star, Black Hole, Neutron Star}</t>
  </si>
  <si>
    <t xml:space="preserve">Stellar Class = {radius, base_energy, mass}</t>
  </si>
  <si>
    <t xml:space="preserve">energy (float) is bucketed in such a way where:</t>
  </si>
  <si>
    <t xml:space="preserve">- low energy i.e. low temperature --&gt; dying star e.g. white dwarf</t>
  </si>
  <si>
    <t xml:space="preserve">- medium energy i.e. med temperature --&gt; normal star e.g. our sun</t>
  </si>
  <si>
    <t xml:space="preserve">- high energy i.e. high temperature --&gt; big star e.g. beetleguese</t>
  </si>
  <si>
    <t xml:space="preserve">Temperature is a function of Energy, where</t>
  </si>
  <si>
    <t xml:space="preserve">Energy = Base Energy * Radius (or Volume)</t>
  </si>
  <si>
    <t xml:space="preserve">Gravitational Strength is a function of mass</t>
  </si>
  <si>
    <t xml:space="preserve">BlackHole = {mass, radius, wormhole (boolean)}</t>
  </si>
  <si>
    <t xml:space="preserve">Mass of a black hole would be very high</t>
  </si>
  <si>
    <t xml:space="preserve">Mass determines the gravitational strength</t>
  </si>
  <si>
    <t xml:space="preserve">Some Examples of actions</t>
  </si>
  <si>
    <t xml:space="preserve">If a ship is one or more grid-cell away from a star then 0 gravitational effect is applied</t>
  </si>
  <si>
    <t xml:space="preserve">But if the ship is in the same cell as a star, then depending on gravitational strength, it will pull the ship in the star over a certain length of turn i.e. time</t>
  </si>
  <si>
    <t xml:space="preserve">e.g. for the Sun it may take 7 turns before getting pulled in if the ship does not move</t>
  </si>
  <si>
    <t xml:space="preserve">Also, when the ship is in the same cell as a star, shields get drained depending on energy of the star</t>
  </si>
  <si>
    <t xml:space="preserve">For Black Holes: regardless of which cell a ship is in in the sector where there is a black hole, the ship will be pulled in (and destroyed)</t>
  </si>
  <si>
    <t xml:space="preserve">For Wormholes: it connects to another blackhole, getting pulled in again on the otherside if the ship does not move.</t>
  </si>
  <si>
    <t xml:space="preserve">Depending on the gravitational strength of the blackhole/wormhole, it will take a number of turns for it to be pulled in if the ship decides not to move</t>
  </si>
  <si>
    <t xml:space="preserve">Ships</t>
  </si>
  <si>
    <t xml:space="preserve">Ships = {torpedos, phasers, shield_power, engine-power, warpcore_power, captain: CaptainClass}</t>
  </si>
  <si>
    <t xml:space="preserve">engine_power (float) determines max impulse speed (0-10) - float.</t>
  </si>
  <si>
    <t xml:space="preserve">warpcore_power (float) determines max warp speed (0-10) - float. Note: At warp 10, means ship can go anywhere in the universe in one turn.</t>
  </si>
  <si>
    <t xml:space="preserve">Captain = {name: str, gold_coins: int, silver_coins: int, items: List[Item], fear_level: float, respect_level: float}</t>
  </si>
  <si>
    <t xml:space="preserve">Items</t>
  </si>
  <si>
    <t xml:space="preserve">Items = {food: int, water: int, element_compounds: List[Elements_Compounds]}</t>
  </si>
  <si>
    <t xml:space="preserve">Elements_Compounds = {typical precious metals (not including gold and silver), exotic crystals and metals, antimatter elements and compounds, crystals: Crystal (i.e. dilithium, other types of powerful crystals)</t>
  </si>
  <si>
    <t xml:space="preserve">Planet = {name: str, food: int, water: int, element_ccompounds: List[Elements_Compounds], shields, torpedos, phasers, prezident_name: str}</t>
  </si>
  <si>
    <t xml:space="preserve">The captain can trade items/wealth(gold, silver) with other captains or heads of planets</t>
  </si>
  <si>
    <t xml:space="preserve">Certain elements and compounds can improve torpedos, phasers, shields, engine, warp</t>
  </si>
  <si>
    <t xml:space="preserve">Fear Controls</t>
  </si>
  <si>
    <t xml:space="preserve">Battles won (regardless of oponent level) --&gt; fear level increases</t>
  </si>
  <si>
    <t xml:space="preserve">Battles loss (regardless of oponent level) --&gt; fear level decreases</t>
  </si>
  <si>
    <t xml:space="preserve">Respect Controls</t>
  </si>
  <si>
    <t xml:space="preserve">Battles won (against stronger opponent) --&gt; respect increases</t>
  </si>
  <si>
    <t xml:space="preserve">Battles won (against weaker opponent where opponent offers peace OR the fight is started by the player against the weaker opponent) --&gt; respect decreases</t>
  </si>
  <si>
    <t xml:space="preserve">Starting fights --&gt; respect decreases</t>
  </si>
  <si>
    <t xml:space="preserve">Any accepted trade --&gt; respect increases</t>
  </si>
  <si>
    <t xml:space="preserve">Acquiring special items (elements and compounds) --&gt; respect increases</t>
  </si>
  <si>
    <t xml:space="preserve">Battles</t>
  </si>
  <si>
    <t xml:space="preserve">if A beats B and destroys B --&gt; A acquires all items including wealth, weaponds, engine power, warp power, (not including shield power)</t>
  </si>
  <si>
    <t xml:space="preserve">If same, but B escapes --&gt; No transaction made</t>
  </si>
  <si>
    <t xml:space="preserve">If same, but peace is made during battle, then A gains X% of B's items. X% based on % of net shields: A shield power - B shield power during battle</t>
  </si>
  <si>
    <t xml:space="preserve">Control config</t>
  </si>
  <si>
    <t xml:space="preserve">All of these controls of +/- fear and respect values should be based on various conditions (be smart about this), and base values set in a controls_config.ini (same goes for energy --&gt; temperature settings and colour of stars intervals). Note: temperature is calculated from energy, colour is calcuated from temperature.</t>
  </si>
  <si>
    <t xml:space="preserve">Addendum — stated in chat on 2026-10-25, verbatim.</t>
  </si>
  <si>
    <t xml:space="preserve">A1</t>
  </si>
  <si>
    <t xml:space="preserve">name has been settled to: master of starbour.</t>
  </si>
  <si>
    <t xml:space="preserve">A2</t>
  </si>
  <si>
    <t xml:space="preserve">git repo is: git@github.com:selphaware/master-of-starbour.git.</t>
  </si>
  <si>
    <t xml:space="preserve">A3</t>
  </si>
  <si>
    <t xml:space="preserve">idea is to make this into an executable package in the end which can be downloaded. i plan to have both code and installable on this repo (for the public).</t>
  </si>
  <si>
    <t xml:space="preserve">A4</t>
  </si>
  <si>
    <t xml:space="preserve">end goal is to become master of starbour where you get this level of warp, weapons, etc, and you just carry on playing... all planets willing to trade... so the game doesnt end, you just carry on (that is the end)... so there will be a sort of celebration and ceremony, then carry on.</t>
  </si>
  <si>
    <t xml:space="preserve">A5</t>
  </si>
  <si>
    <t xml:space="preserve">python venv will be in: E:\CODE\master-of-starbour\MOS\Scripts\python.exe (i.e. env name is MOS)</t>
  </si>
  <si>
    <t xml:space="preserve">A6</t>
  </si>
  <si>
    <t xml:space="preserve">of course when you lose the battle you lose the game and start again. and yes project root you assumed is correct.</t>
  </si>
  <si>
    <t xml:space="preserve">A7</t>
  </si>
  <si>
    <t xml:space="preserve">yes repo is public i will be doing git operations via ssh.</t>
  </si>
  <si>
    <t xml:space="preserve">A8</t>
  </si>
  <si>
    <t xml:space="preserve">also, this will be a colourful game</t>
  </si>
  <si>
    <t xml:space="preserve">A9</t>
  </si>
  <si>
    <t xml:space="preserve">[Fractional impulse] Agreed with default (floor; the fraction only matters against gravity pull)</t>
  </si>
  <si>
    <t xml:space="preserve">A10</t>
  </si>
  <si>
    <t xml:space="preserve">[Game over with a fleet] Agreed with default (the active ship — the captain is on it)</t>
  </si>
  <si>
    <t xml:space="preserve">A11</t>
  </si>
  <si>
    <t xml:space="preserve">[Food/water at zero] the crew mutiny and the captain gets demoted to a low class ship</t>
  </si>
  <si>
    <t xml:space="preserve">A12</t>
  </si>
  <si>
    <t xml:space="preserve">[Peace formula] Agreed with default (victor = the side that didn't offer; X = victor's shield advantage as a fraction × 50%, floored at 0)</t>
  </si>
  <si>
    <t xml:space="preserve">A13</t>
  </si>
  <si>
    <t xml:space="preserve">[Fear vs respect] yes ships can possibly yield, but with respect planets can be compliant, let me know if you need more logic details here</t>
  </si>
  <si>
    <t xml:space="preserve">A14</t>
  </si>
  <si>
    <t xml:space="preserve">[Licence] Us MIT license then or an appropriate one?</t>
  </si>
  <si>
    <t xml:space="preserve">A15</t>
  </si>
  <si>
    <t xml:space="preserve">[Pacing] Well i didnt like this Q in the first place, there is no set number of turns for these matters</t>
  </si>
  <si>
    <t xml:space="preserve">A16</t>
  </si>
  <si>
    <t xml:space="preserve">[Black hole 7 turns] 7 is just an example, we have to do what is appropriate and what works</t>
  </si>
  <si>
    <t xml:space="preserve">A17</t>
  </si>
  <si>
    <t xml:space="preserve">Agreed on the upgrade map, this should also be configurable in the ini file. hope that clears it up. Choose whatever values you deem appropriate. Point is, these numbers can be configured outside the game.</t>
  </si>
  <si>
    <t xml:space="preserve">A18</t>
  </si>
  <si>
    <t xml:space="preserve">Agreed on mutineers.</t>
  </si>
  <si>
    <t xml:space="preserve">A19</t>
  </si>
  <si>
    <t xml:space="preserve">if the captain has more than one ship, when mutineed then will go to one of the other ships. if no other ship available, demoted then.</t>
  </si>
  <si>
    <t xml:space="preserve">A20</t>
  </si>
  <si>
    <t xml:space="preserve">Choose the best license for this.</t>
  </si>
</sst>
</file>

<file path=xl/styles.xml><?xml version="1.0" encoding="utf-8"?>
<styleSheet xmlns="http://schemas.openxmlformats.org/spreadsheetml/2006/main">
  <numFmts count="6">
    <numFmt numFmtId="164" formatCode="General"/>
    <numFmt numFmtId="165" formatCode="General"/>
    <numFmt numFmtId="166" formatCode="0%"/>
    <numFmt numFmtId="167" formatCode="0.0"/>
    <numFmt numFmtId="168" formatCode="#,##0"/>
    <numFmt numFmtId="169"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u val="single"/>
      <sz val="10"/>
      <color rgb="FF0563C1"/>
      <name val="Arial"/>
      <family val="0"/>
      <charset val="1"/>
    </font>
    <font>
      <b val="true"/>
      <sz val="10"/>
      <name val="Arial"/>
      <family val="0"/>
      <charset val="1"/>
    </font>
    <font>
      <sz val="10"/>
      <name val="Arial"/>
      <family val="0"/>
      <charset val="1"/>
    </font>
    <font>
      <sz val="8"/>
      <color rgb="FF808080"/>
      <name val="Arial"/>
      <family val="0"/>
      <charset val="1"/>
    </font>
    <font>
      <b val="true"/>
      <sz val="10"/>
      <color rgb="FFFFFFFF"/>
      <name val="Arial"/>
      <family val="0"/>
      <charset val="1"/>
    </font>
  </fonts>
  <fills count="23">
    <fill>
      <patternFill patternType="none"/>
    </fill>
    <fill>
      <patternFill patternType="gray125"/>
    </fill>
    <fill>
      <patternFill patternType="solid">
        <fgColor rgb="FFD9E1F2"/>
        <bgColor rgb="FFD6DCE4"/>
      </patternFill>
    </fill>
    <fill>
      <patternFill patternType="solid">
        <fgColor rgb="FF1F3864"/>
        <bgColor rgb="FF1F4E79"/>
      </patternFill>
    </fill>
    <fill>
      <patternFill patternType="solid">
        <fgColor rgb="FF2E75B6"/>
        <bgColor rgb="FF0563C1"/>
      </patternFill>
    </fill>
    <fill>
      <patternFill patternType="solid">
        <fgColor rgb="FF138D90"/>
        <bgColor rgb="FF339966"/>
      </patternFill>
    </fill>
    <fill>
      <patternFill patternType="solid">
        <fgColor rgb="FF7030A0"/>
        <bgColor rgb="FF5B2C6F"/>
      </patternFill>
    </fill>
    <fill>
      <patternFill patternType="solid">
        <fgColor rgb="FF548235"/>
        <bgColor rgb="FF339966"/>
      </patternFill>
    </fill>
    <fill>
      <patternFill patternType="solid">
        <fgColor rgb="FFC55A11"/>
        <bgColor rgb="FF9C5700"/>
      </patternFill>
    </fill>
    <fill>
      <patternFill patternType="solid">
        <fgColor rgb="FF44546A"/>
        <bgColor rgb="FF595959"/>
      </patternFill>
    </fill>
    <fill>
      <patternFill patternType="solid">
        <fgColor rgb="FFC00000"/>
        <bgColor rgb="FF800000"/>
      </patternFill>
    </fill>
    <fill>
      <patternFill patternType="solid">
        <fgColor rgb="FF375623"/>
        <bgColor rgb="FF44546A"/>
      </patternFill>
    </fill>
    <fill>
      <patternFill patternType="solid">
        <fgColor rgb="FF262626"/>
        <bgColor rgb="FF1F3864"/>
      </patternFill>
    </fill>
    <fill>
      <patternFill patternType="solid">
        <fgColor rgb="FF808080"/>
        <bgColor rgb="FF969696"/>
      </patternFill>
    </fill>
    <fill>
      <patternFill patternType="solid">
        <fgColor rgb="FFFFFF99"/>
        <bgColor rgb="FFFFEB9C"/>
      </patternFill>
    </fill>
    <fill>
      <patternFill patternType="solid">
        <fgColor rgb="FFDDEBF7"/>
        <bgColor rgb="FFD5F0F0"/>
      </patternFill>
    </fill>
    <fill>
      <patternFill patternType="solid">
        <fgColor rgb="FFD5F0F0"/>
        <bgColor rgb="FFDDEBF7"/>
      </patternFill>
    </fill>
    <fill>
      <patternFill patternType="solid">
        <fgColor rgb="FFE9DDF3"/>
        <bgColor rgb="FFE4D5F0"/>
      </patternFill>
    </fill>
    <fill>
      <patternFill patternType="solid">
        <fgColor rgb="FFE2EFDA"/>
        <bgColor rgb="FFE7E6E6"/>
      </patternFill>
    </fill>
    <fill>
      <patternFill patternType="solid">
        <fgColor rgb="FFFBE5D6"/>
        <bgColor rgb="FFE7E6E6"/>
      </patternFill>
    </fill>
    <fill>
      <patternFill patternType="solid">
        <fgColor rgb="FFD6DCE4"/>
        <bgColor rgb="FFD9E1F2"/>
      </patternFill>
    </fill>
    <fill>
      <patternFill patternType="solid">
        <fgColor rgb="FFF2F2F2"/>
        <bgColor rgb="FFEDEDED"/>
      </patternFill>
    </fill>
    <fill>
      <patternFill patternType="solid">
        <fgColor rgb="FFE7E6E6"/>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center" vertical="center" textRotation="0" wrapText="true" indent="0" shrinkToFit="false"/>
      <protection locked="true" hidden="false"/>
    </xf>
    <xf numFmtId="166" fontId="7" fillId="2" borderId="1" xfId="0" applyFont="true" applyBorder="true" applyAlignment="true" applyProtection="false">
      <alignment horizontal="center" vertical="center" textRotation="0" wrapText="true" indent="0" shrinkToFit="false"/>
      <protection locked="true" hidden="false"/>
    </xf>
    <xf numFmtId="164" fontId="7" fillId="1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15"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8" fillId="14" borderId="1" xfId="0" applyFont="true" applyBorder="true" applyAlignment="true" applyProtection="false">
      <alignment horizontal="left" vertical="top" textRotation="0" wrapText="true" indent="0" shrinkToFit="false"/>
      <protection locked="true" hidden="false"/>
    </xf>
    <xf numFmtId="164" fontId="7" fillId="16" borderId="0"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7" fillId="17" borderId="0"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8" fillId="14" borderId="1" xfId="0" applyFont="true" applyBorder="tru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18" borderId="0"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4" fontId="7" fillId="19" borderId="0" xfId="0" applyFont="true" applyBorder="true" applyAlignment="fals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4" fontId="7" fillId="20" borderId="0" xfId="0" applyFont="true" applyBorder="true" applyAlignment="false" applyProtection="false">
      <alignment horizontal="general" vertical="bottom" textRotation="0" wrapText="fals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left" vertical="top" textRotation="0" wrapText="true" indent="0" shrinkToFit="false"/>
      <protection locked="true" hidden="false"/>
    </xf>
    <xf numFmtId="164" fontId="10" fillId="11" borderId="1" xfId="0" applyFont="true" applyBorder="true" applyAlignment="true" applyProtection="false">
      <alignment horizontal="left" vertical="top" textRotation="0" wrapText="true" indent="0" shrinkToFit="false"/>
      <protection locked="true" hidden="false"/>
    </xf>
    <xf numFmtId="164" fontId="7" fillId="21" borderId="0" xfId="0" applyFont="true" applyBorder="true" applyAlignment="false" applyProtection="false">
      <alignment horizontal="general" vertical="bottom" textRotation="0" wrapText="false" indent="0" shrinkToFit="false"/>
      <protection locked="true" hidden="false"/>
    </xf>
    <xf numFmtId="164" fontId="10" fillId="12" borderId="1" xfId="0" applyFont="true" applyBorder="true" applyAlignment="true" applyProtection="false">
      <alignment horizontal="left" vertical="top" textRotation="0" wrapText="true" indent="0" shrinkToFit="false"/>
      <protection locked="true" hidden="false"/>
    </xf>
    <xf numFmtId="164" fontId="10" fillId="1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7" fillId="22"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2E75B6"/>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4D5F0"/>
          <bgColor rgb="FF000000"/>
        </patternFill>
      </fill>
    </dxf>
    <dxf>
      <fill>
        <patternFill patternType="solid">
          <fgColor rgb="FF006100"/>
          <bgColor rgb="FF000000"/>
        </patternFill>
      </fill>
    </dxf>
    <dxf>
      <fill>
        <patternFill patternType="solid">
          <fgColor rgb="FF1F4E79"/>
          <bgColor rgb="FF000000"/>
        </patternFill>
      </fill>
    </dxf>
    <dxf>
      <fill>
        <patternFill patternType="solid">
          <fgColor rgb="FF5B2C6F"/>
          <bgColor rgb="FF000000"/>
        </patternFill>
      </fill>
    </dxf>
    <dxf>
      <font>
        <color rgb="FF006100"/>
      </font>
      <fill>
        <patternFill>
          <bgColor rgb="FFC6EFCE"/>
        </patternFill>
      </fill>
    </dxf>
    <dxf>
      <font>
        <color rgb="FF5B2C6F"/>
      </font>
      <fill>
        <patternFill>
          <bgColor rgb="FFE4D5F0"/>
        </patternFill>
      </fill>
    </dxf>
    <dxf>
      <font>
        <color rgb="FF1F4E79"/>
      </font>
      <fill>
        <patternFill>
          <bgColor rgb="FFDDEBF7"/>
        </patternFill>
      </fill>
    </dxf>
    <dxf>
      <font>
        <color rgb="FF9C5700"/>
      </font>
      <fill>
        <patternFill>
          <bgColor rgb="FFFFEB9C"/>
        </patternFill>
      </fill>
    </dxf>
    <dxf>
      <font>
        <color rgb="FF595959"/>
      </font>
      <fill>
        <patternFill>
          <bgColor rgb="FFEDEDED"/>
        </patternFill>
      </fill>
    </dxf>
    <dxf>
      <fill>
        <patternFill patternType="solid">
          <fgColor rgb="FF138D90"/>
          <bgColor rgb="FF000000"/>
        </patternFill>
      </fill>
    </dxf>
    <dxf>
      <fill>
        <patternFill patternType="solid">
          <fgColor rgb="FFFFFF99"/>
          <bgColor rgb="FF000000"/>
        </patternFill>
      </fill>
    </dxf>
    <dxf>
      <fill>
        <patternFill patternType="solid">
          <fgColor rgb="FF7030A0"/>
          <bgColor rgb="FF000000"/>
        </patternFill>
      </fill>
    </dxf>
    <dxf>
      <fill>
        <patternFill patternType="solid">
          <fgColor rgb="FF548235"/>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C55A11"/>
          <bgColor rgb="FF000000"/>
        </patternFill>
      </fill>
    </dxf>
    <dxf>
      <fill>
        <patternFill patternType="solid">
          <fgColor rgb="FF44546A"/>
          <bgColor rgb="FF000000"/>
        </patternFill>
      </fill>
    </dxf>
    <dxf>
      <fill>
        <patternFill patternType="solid">
          <fgColor rgb="FFC00000"/>
          <bgColor rgb="FF000000"/>
        </patternFill>
      </fill>
    </dxf>
    <dxf>
      <fill>
        <patternFill patternType="solid">
          <fgColor rgb="FF375623"/>
          <bgColor rgb="FF000000"/>
        </patternFill>
      </fill>
    </dxf>
    <dxf>
      <fill>
        <patternFill patternType="solid">
          <fgColor rgb="FF262626"/>
          <bgColor rgb="FF000000"/>
        </patternFill>
      </fill>
    </dxf>
  </dxfs>
  <colors>
    <indexedColors>
      <rgbColor rgb="FF000000"/>
      <rgbColor rgb="FFFFFFFF"/>
      <rgbColor rgb="FFC00000"/>
      <rgbColor rgb="FF00FF00"/>
      <rgbColor rgb="FF0000FF"/>
      <rgbColor rgb="FFE2EFDA"/>
      <rgbColor rgb="FFFF00FF"/>
      <rgbColor rgb="FF00FFFF"/>
      <rgbColor rgb="FF800000"/>
      <rgbColor rgb="FF006100"/>
      <rgbColor rgb="FF000080"/>
      <rgbColor rgb="FF548235"/>
      <rgbColor rgb="FF800080"/>
      <rgbColor rgb="FF138D90"/>
      <rgbColor rgb="FFBFBFBF"/>
      <rgbColor rgb="FF808080"/>
      <rgbColor rgb="FFD9E1F2"/>
      <rgbColor rgb="FF7030A0"/>
      <rgbColor rgb="FFF2F2F2"/>
      <rgbColor rgb="FFD5F0F0"/>
      <rgbColor rgb="FF5B2C6F"/>
      <rgbColor rgb="FFFF8080"/>
      <rgbColor rgb="FF0563C1"/>
      <rgbColor rgb="FFE4D5F0"/>
      <rgbColor rgb="FF000080"/>
      <rgbColor rgb="FFFF00FF"/>
      <rgbColor rgb="FFE7E6E6"/>
      <rgbColor rgb="FF00FFFF"/>
      <rgbColor rgb="FF800080"/>
      <rgbColor rgb="FF800000"/>
      <rgbColor rgb="FF44546A"/>
      <rgbColor rgb="FF0000FF"/>
      <rgbColor rgb="FF00CCFF"/>
      <rgbColor rgb="FFDDEBF7"/>
      <rgbColor rgb="FFC6EFCE"/>
      <rgbColor rgb="FFFFFF99"/>
      <rgbColor rgb="FFD6DCE4"/>
      <rgbColor rgb="FFFBE5D6"/>
      <rgbColor rgb="FFE9DDF3"/>
      <rgbColor rgb="FFFFEB9C"/>
      <rgbColor rgb="FF2E75B6"/>
      <rgbColor rgb="FF33CCCC"/>
      <rgbColor rgb="FF99CC00"/>
      <rgbColor rgb="FFEDEDED"/>
      <rgbColor rgb="FFFF9900"/>
      <rgbColor rgb="FFC55A11"/>
      <rgbColor rgb="FF595959"/>
      <rgbColor rgb="FF969696"/>
      <rgbColor rgb="FF1F3864"/>
      <rgbColor rgb="FF339966"/>
      <rgbColor rgb="FF003300"/>
      <rgbColor rgb="FF375623"/>
      <rgbColor rgb="FF9C5700"/>
      <rgbColor rgb="FF993366"/>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K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6" topLeftCell="A1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50"/>
    <col collapsed="false" customWidth="true" hidden="false" outlineLevel="0" max="4" min="4" style="0" width="9"/>
    <col collapsed="false" customWidth="true" hidden="false" outlineLevel="0" max="5" min="5" style="0" width="10"/>
    <col collapsed="false" customWidth="true" hidden="false" outlineLevel="0" max="6" min="6" style="0" width="9"/>
    <col collapsed="false" customWidth="true" hidden="false" outlineLevel="0" max="8" min="7" style="0" width="12"/>
    <col collapsed="false" customWidth="true" hidden="false" outlineLevel="0" max="9" min="9" style="0" width="8"/>
    <col collapsed="false" customWidth="true" hidden="false" outlineLevel="0" max="10" min="10" style="0" width="10"/>
    <col collapsed="false" customWidth="true" hidden="false" outlineLevel="0" max="11" min="11" style="0" width="1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c r="B4" s="4"/>
      <c r="C4" s="4"/>
      <c r="D4" s="4"/>
      <c r="E4" s="4"/>
      <c r="F4" s="4"/>
      <c r="G4" s="4"/>
      <c r="H4" s="4"/>
      <c r="I4" s="4"/>
      <c r="J4" s="4"/>
      <c r="K4" s="4"/>
    </row>
    <row r="5" customFormat="false" ht="19.4" hidden="false" customHeight="true" outlineLevel="0" collapsed="false">
      <c r="A5" s="5" t="s">
        <v>3</v>
      </c>
      <c r="B5" s="5"/>
      <c r="C5" s="6" t="s">
        <v>4</v>
      </c>
      <c r="D5" s="6"/>
      <c r="E5" s="6"/>
      <c r="F5" s="6"/>
      <c r="G5" s="6"/>
      <c r="H5" s="6"/>
      <c r="I5" s="6"/>
      <c r="J5" s="6"/>
      <c r="K5" s="7" t="s">
        <v>5</v>
      </c>
    </row>
    <row r="6" customFormat="false" ht="15" hidden="false" customHeight="true" outlineLevel="0" collapsed="false">
      <c r="A6" s="5" t="s">
        <v>6</v>
      </c>
      <c r="B6" s="5"/>
      <c r="C6" s="6" t="s">
        <v>7</v>
      </c>
      <c r="D6" s="6"/>
      <c r="E6" s="6"/>
      <c r="F6" s="6"/>
      <c r="G6" s="6"/>
      <c r="H6" s="6"/>
      <c r="I6" s="6"/>
      <c r="J6" s="6"/>
      <c r="K6" s="7" t="s">
        <v>8</v>
      </c>
    </row>
    <row r="7" customFormat="false" ht="15" hidden="false" customHeight="true" outlineLevel="0" collapsed="false">
      <c r="A7" s="5" t="s">
        <v>9</v>
      </c>
      <c r="B7" s="5"/>
      <c r="C7" s="6" t="s">
        <v>10</v>
      </c>
      <c r="D7" s="6"/>
      <c r="E7" s="6"/>
      <c r="F7" s="6"/>
      <c r="G7" s="6"/>
      <c r="H7" s="6"/>
      <c r="I7" s="6"/>
      <c r="J7" s="6"/>
      <c r="K7" s="7" t="s">
        <v>11</v>
      </c>
    </row>
    <row r="8" customFormat="false" ht="15" hidden="false" customHeight="true" outlineLevel="0" collapsed="false">
      <c r="A8" s="5" t="s">
        <v>12</v>
      </c>
      <c r="B8" s="5"/>
      <c r="C8" s="6" t="s">
        <v>13</v>
      </c>
      <c r="D8" s="6"/>
      <c r="E8" s="6"/>
      <c r="F8" s="6"/>
      <c r="G8" s="6"/>
      <c r="H8" s="6"/>
      <c r="I8" s="6"/>
      <c r="J8" s="6"/>
      <c r="K8" s="7" t="s">
        <v>14</v>
      </c>
    </row>
    <row r="9" customFormat="false" ht="19.4" hidden="false" customHeight="true" outlineLevel="0" collapsed="false">
      <c r="A9" s="5" t="s">
        <v>15</v>
      </c>
      <c r="B9" s="5"/>
      <c r="C9" s="6" t="s">
        <v>16</v>
      </c>
      <c r="D9" s="6"/>
      <c r="E9" s="6"/>
      <c r="F9" s="6"/>
      <c r="G9" s="6"/>
      <c r="H9" s="6"/>
      <c r="I9" s="6"/>
      <c r="J9" s="6"/>
      <c r="K9" s="7" t="s">
        <v>17</v>
      </c>
    </row>
    <row r="10" customFormat="false" ht="19.4" hidden="false" customHeight="true" outlineLevel="0" collapsed="false">
      <c r="A10" s="5" t="s">
        <v>18</v>
      </c>
      <c r="B10" s="5"/>
      <c r="C10" s="6" t="s">
        <v>19</v>
      </c>
      <c r="D10" s="6"/>
      <c r="E10" s="6"/>
      <c r="F10" s="6"/>
      <c r="G10" s="6"/>
      <c r="H10" s="6"/>
      <c r="I10" s="6"/>
      <c r="J10" s="6"/>
      <c r="K10" s="7" t="s">
        <v>20</v>
      </c>
    </row>
    <row r="11" customFormat="false" ht="23.85" hidden="false" customHeight="true" outlineLevel="0" collapsed="false">
      <c r="A11" s="5" t="s">
        <v>21</v>
      </c>
      <c r="B11" s="5"/>
      <c r="C11" s="6" t="s">
        <v>22</v>
      </c>
      <c r="D11" s="6"/>
      <c r="E11" s="6"/>
      <c r="F11" s="6"/>
      <c r="G11" s="6"/>
      <c r="H11" s="6"/>
      <c r="I11" s="6"/>
      <c r="J11" s="6"/>
      <c r="K11" s="7" t="s">
        <v>23</v>
      </c>
    </row>
    <row r="12" customFormat="false" ht="19.4" hidden="false" customHeight="true" outlineLevel="0" collapsed="false">
      <c r="A12" s="5" t="s">
        <v>24</v>
      </c>
      <c r="B12" s="5"/>
      <c r="C12" s="6" t="s">
        <v>25</v>
      </c>
      <c r="D12" s="6"/>
      <c r="E12" s="6"/>
      <c r="F12" s="6"/>
      <c r="G12" s="6"/>
      <c r="H12" s="6"/>
      <c r="I12" s="6"/>
      <c r="J12" s="6"/>
      <c r="K12" s="7" t="s">
        <v>26</v>
      </c>
    </row>
    <row r="14" customFormat="false" ht="15" hidden="false" customHeight="false" outlineLevel="0" collapsed="false">
      <c r="A14" s="4" t="s">
        <v>27</v>
      </c>
      <c r="B14" s="4"/>
      <c r="C14" s="4"/>
      <c r="D14" s="4"/>
      <c r="E14" s="4"/>
      <c r="F14" s="4"/>
      <c r="G14" s="4"/>
      <c r="H14" s="4"/>
      <c r="I14" s="4"/>
      <c r="J14" s="4"/>
      <c r="K14" s="4"/>
    </row>
    <row r="15" customFormat="false" ht="15" hidden="false" customHeight="true" outlineLevel="0" collapsed="false">
      <c r="A15" s="8" t="s">
        <v>28</v>
      </c>
      <c r="B15" s="8"/>
      <c r="C15" s="8"/>
      <c r="D15" s="8"/>
      <c r="E15" s="8"/>
      <c r="F15" s="8"/>
      <c r="G15" s="8"/>
      <c r="H15" s="8"/>
      <c r="I15" s="8"/>
      <c r="J15" s="8"/>
      <c r="K15" s="8"/>
    </row>
    <row r="16" customFormat="false" ht="15" hidden="false" customHeight="false" outlineLevel="0" collapsed="false">
      <c r="A16" s="9" t="s">
        <v>29</v>
      </c>
      <c r="B16" s="9" t="s">
        <v>30</v>
      </c>
      <c r="C16" s="9" t="s">
        <v>31</v>
      </c>
      <c r="D16" s="9" t="s">
        <v>32</v>
      </c>
      <c r="E16" s="9" t="s">
        <v>33</v>
      </c>
      <c r="F16" s="9" t="s">
        <v>34</v>
      </c>
      <c r="G16" s="9" t="s">
        <v>35</v>
      </c>
      <c r="H16" s="9" t="s">
        <v>36</v>
      </c>
      <c r="I16" s="9" t="s">
        <v>37</v>
      </c>
      <c r="J16" s="9" t="s">
        <v>38</v>
      </c>
      <c r="K16" s="9" t="s">
        <v>39</v>
      </c>
    </row>
    <row r="17" customFormat="false" ht="15" hidden="false" customHeight="false" outlineLevel="0" collapsed="false">
      <c r="A17" s="10" t="str">
        <f aca="false">HYPERLINK("#'1 Overview'!A1","1 Overview")</f>
        <v>1 Overview</v>
      </c>
      <c r="B17" s="11" t="s">
        <v>40</v>
      </c>
      <c r="C17" s="12" t="s">
        <v>41</v>
      </c>
      <c r="D17" s="13" t="n">
        <f aca="false">COUNTIF('1 Overview'!$F$7:$F$24,"Agreed")+COUNTIF('1 Overview'!$F$29:$F$37,"Agreed")</f>
        <v>16</v>
      </c>
      <c r="E17" s="13" t="n">
        <f aca="false">COUNTIF('1 Overview'!$F$7:$F$24,"Proposed")+COUNTIF('1 Overview'!$F$29:$F$37,"Proposed")</f>
        <v>4</v>
      </c>
      <c r="F17" s="13" t="n">
        <f aca="false">COUNTIF('1 Overview'!$F$7:$F$24,"Draft")+COUNTIF('1 Overview'!$F$29:$F$37,"Draft")</f>
        <v>4</v>
      </c>
      <c r="G17" s="13" t="n">
        <f aca="false">COUNTIF('1 Overview'!$F$7:$F$24,"Needs detail")+COUNTIF('1 Overview'!$F$29:$F$37,"Needs detail")</f>
        <v>0</v>
      </c>
      <c r="H17" s="13" t="n">
        <f aca="false">COUNTIF('1 Overview'!$F$7:$F$24,"Not started")+COUNTIF('1 Overview'!$F$29:$F$37,"Not started")</f>
        <v>0</v>
      </c>
      <c r="I17" s="13" t="n">
        <f aca="false">SUM(D17:H17)</f>
        <v>24</v>
      </c>
      <c r="J17" s="14" t="n">
        <f aca="false">IF(I17=0,0,D17/I17)</f>
        <v>0.666666666666667</v>
      </c>
      <c r="K17" s="13" t="n">
        <f aca="false">COUNTIFS('1 Overview'!$F$7:$F$24,"Needs detail",'1 Overview'!$D$7:$D$24,"")+COUNTIFS('1 Overview'!$F$7:$F$24,"Not started",'1 Overview'!$D$7:$D$24,"")+COUNTIFS('1 Overview'!$F$29:$F$37,"Needs detail",'1 Overview'!$D$29:$D$37,"")+COUNTIFS('1 Overview'!$F$29:$F$37,"Not started",'1 Overview'!$D$29:$D$37,"")</f>
        <v>0</v>
      </c>
    </row>
    <row r="18" customFormat="false" ht="15" hidden="false" customHeight="false" outlineLevel="0" collapsed="false">
      <c r="A18" s="10" t="str">
        <f aca="false">HYPERLINK("#'2 Architecture'!A1","2 Architecture")</f>
        <v>2 Architecture</v>
      </c>
      <c r="B18" s="11" t="s">
        <v>40</v>
      </c>
      <c r="C18" s="12" t="s">
        <v>42</v>
      </c>
      <c r="D18" s="13" t="n">
        <f aca="false">COUNTIF('2 Architecture'!$G$7:$G$12,"Agreed")+COUNTIF('2 Architecture'!$G$16:$G$23,"Agreed")+COUNTIF('2 Architecture'!$G$28:$G$38,"Agreed")</f>
        <v>12</v>
      </c>
      <c r="E18" s="13" t="n">
        <f aca="false">COUNTIF('2 Architecture'!$G$7:$G$12,"Proposed")+COUNTIF('2 Architecture'!$G$16:$G$23,"Proposed")+COUNTIF('2 Architecture'!$G$28:$G$38,"Proposed")</f>
        <v>10</v>
      </c>
      <c r="F18" s="13" t="n">
        <f aca="false">COUNTIF('2 Architecture'!$G$7:$G$12,"Draft")+COUNTIF('2 Architecture'!$G$16:$G$23,"Draft")+COUNTIF('2 Architecture'!$G$28:$G$38,"Draft")</f>
        <v>0</v>
      </c>
      <c r="G18" s="13" t="n">
        <f aca="false">COUNTIF('2 Architecture'!$G$7:$G$12,"Needs detail")+COUNTIF('2 Architecture'!$G$16:$G$23,"Needs detail")+COUNTIF('2 Architecture'!$G$28:$G$38,"Needs detail")</f>
        <v>0</v>
      </c>
      <c r="H18" s="13" t="n">
        <f aca="false">COUNTIF('2 Architecture'!$G$7:$G$12,"Not started")+COUNTIF('2 Architecture'!$G$16:$G$23,"Not started")+COUNTIF('2 Architecture'!$G$28:$G$38,"Not started")</f>
        <v>0</v>
      </c>
      <c r="I18" s="13" t="n">
        <f aca="false">SUM(D18:H18)</f>
        <v>22</v>
      </c>
      <c r="J18" s="14" t="n">
        <f aca="false">IF(I18=0,0,D18/I18)</f>
        <v>0.545454545454545</v>
      </c>
      <c r="K18" s="13" t="n">
        <f aca="false">COUNTIFS('2 Architecture'!$G$7:$G$12,"Needs detail",'2 Architecture'!$E$7:$E$12,"")+COUNTIFS('2 Architecture'!$G$7:$G$12,"Not started",'2 Architecture'!$E$7:$E$12,"")+COUNTIFS('2 Architecture'!$G$16:$G$23,"Needs detail",'2 Architecture'!$E$16:$E$23,"")+COUNTIFS('2 Architecture'!$G$16:$G$23,"Not started",'2 Architecture'!$E$16:$E$23,"")+COUNTIFS('2 Architecture'!$G$28:$G$38,"Needs detail",'2 Architecture'!$E$28:$E$38,"")+COUNTIFS('2 Architecture'!$G$28:$G$38,"Not started",'2 Architecture'!$E$28:$E$38,"")</f>
        <v>0</v>
      </c>
    </row>
    <row r="19" customFormat="false" ht="15" hidden="false" customHeight="false" outlineLevel="0" collapsed="false">
      <c r="A19" s="10" t="str">
        <f aca="false">HYPERLINK("#'3 T1 Command'!A1","3 T1 Command")</f>
        <v>3 T1 Command</v>
      </c>
      <c r="B19" s="15" t="s">
        <v>43</v>
      </c>
      <c r="C19" s="12" t="s">
        <v>44</v>
      </c>
      <c r="D19" s="13" t="n">
        <f aca="false">COUNTIF('3 T1 Command'!$I$15:$I$37,"Agreed")+COUNTIF('3 T1 Command'!$I$41:$I$50,"Agreed")</f>
        <v>14</v>
      </c>
      <c r="E19" s="13" t="n">
        <f aca="false">COUNTIF('3 T1 Command'!$I$15:$I$37,"Proposed")+COUNTIF('3 T1 Command'!$I$41:$I$50,"Proposed")</f>
        <v>8</v>
      </c>
      <c r="F19" s="13" t="n">
        <f aca="false">COUNTIF('3 T1 Command'!$I$15:$I$37,"Draft")+COUNTIF('3 T1 Command'!$I$41:$I$50,"Draft")</f>
        <v>6</v>
      </c>
      <c r="G19" s="13" t="n">
        <f aca="false">COUNTIF('3 T1 Command'!$I$15:$I$37,"Needs detail")+COUNTIF('3 T1 Command'!$I$41:$I$50,"Needs detail")</f>
        <v>0</v>
      </c>
      <c r="H19" s="13" t="n">
        <f aca="false">COUNTIF('3 T1 Command'!$I$15:$I$37,"Not started")+COUNTIF('3 T1 Command'!$I$41:$I$50,"Not started")</f>
        <v>0</v>
      </c>
      <c r="I19" s="13" t="n">
        <f aca="false">SUM(D19:H19)</f>
        <v>28</v>
      </c>
      <c r="J19" s="14" t="n">
        <f aca="false">IF(I19=0,0,D19/I19)</f>
        <v>0.5</v>
      </c>
      <c r="K19" s="13" t="n">
        <f aca="false">COUNTIFS('3 T1 Command'!$I$15:$I$37,"Needs detail",'3 T1 Command'!$G$15:$G$37,"")+COUNTIFS('3 T1 Command'!$I$15:$I$37,"Not started",'3 T1 Command'!$G$15:$G$37,"")+COUNTIFS('3 T1 Command'!$I$41:$I$50,"Needs detail",'3 T1 Command'!$G$41:$G$50,"")+COUNTIFS('3 T1 Command'!$I$41:$I$50,"Not started",'3 T1 Command'!$G$41:$G$50,"")</f>
        <v>0</v>
      </c>
    </row>
    <row r="20" customFormat="false" ht="15" hidden="false" customHeight="false" outlineLevel="0" collapsed="false">
      <c r="A20" s="10" t="str">
        <f aca="false">HYPERLINK("#'4 T2 Grid'!A1","4 T2 Grid")</f>
        <v>4 T2 Grid</v>
      </c>
      <c r="B20" s="15" t="s">
        <v>43</v>
      </c>
      <c r="C20" s="12" t="s">
        <v>45</v>
      </c>
      <c r="D20" s="13" t="n">
        <f aca="false">COUNTIF('4 T2 Grid'!$I$16:$I$19,"Agreed")+COUNTIF('4 T2 Grid'!$I$24:$I$39,"Agreed")+COUNTIF('4 T2 Grid'!$I$43:$I$52,"Agreed")</f>
        <v>4</v>
      </c>
      <c r="E20" s="13" t="n">
        <f aca="false">COUNTIF('4 T2 Grid'!$I$16:$I$19,"Proposed")+COUNTIF('4 T2 Grid'!$I$24:$I$39,"Proposed")+COUNTIF('4 T2 Grid'!$I$43:$I$52,"Proposed")</f>
        <v>21</v>
      </c>
      <c r="F20" s="13" t="n">
        <f aca="false">COUNTIF('4 T2 Grid'!$I$16:$I$19,"Draft")+COUNTIF('4 T2 Grid'!$I$24:$I$39,"Draft")+COUNTIF('4 T2 Grid'!$I$43:$I$52,"Draft")</f>
        <v>0</v>
      </c>
      <c r="G20" s="13" t="n">
        <f aca="false">COUNTIF('4 T2 Grid'!$I$16:$I$19,"Needs detail")+COUNTIF('4 T2 Grid'!$I$24:$I$39,"Needs detail")+COUNTIF('4 T2 Grid'!$I$43:$I$52,"Needs detail")</f>
        <v>0</v>
      </c>
      <c r="H20" s="13" t="n">
        <f aca="false">COUNTIF('4 T2 Grid'!$I$16:$I$19,"Not started")+COUNTIF('4 T2 Grid'!$I$24:$I$39,"Not started")+COUNTIF('4 T2 Grid'!$I$43:$I$52,"Not started")</f>
        <v>0</v>
      </c>
      <c r="I20" s="13" t="n">
        <f aca="false">SUM(D20:H20)</f>
        <v>25</v>
      </c>
      <c r="J20" s="14" t="n">
        <f aca="false">IF(I20=0,0,D20/I20)</f>
        <v>0.16</v>
      </c>
      <c r="K20" s="13" t="n">
        <f aca="false">COUNTIFS('4 T2 Grid'!$I$16:$I$19,"Needs detail",'4 T2 Grid'!$G$16:$G$19,"")+COUNTIFS('4 T2 Grid'!$I$16:$I$19,"Not started",'4 T2 Grid'!$G$16:$G$19,"")+COUNTIFS('4 T2 Grid'!$I$24:$I$39,"Needs detail",'4 T2 Grid'!$G$24:$G$39,"")+COUNTIFS('4 T2 Grid'!$I$24:$I$39,"Not started",'4 T2 Grid'!$G$24:$G$39,"")+COUNTIFS('4 T2 Grid'!$I$43:$I$52,"Needs detail",'4 T2 Grid'!$G$43:$G$52,"")+COUNTIFS('4 T2 Grid'!$I$43:$I$52,"Not started",'4 T2 Grid'!$G$43:$G$52,"")</f>
        <v>0</v>
      </c>
    </row>
    <row r="21" customFormat="false" ht="15" hidden="false" customHeight="false" outlineLevel="0" collapsed="false">
      <c r="A21" s="10" t="str">
        <f aca="false">HYPERLINK("#'5 T3 Output'!A1","5 T3 Output")</f>
        <v>5 T3 Output</v>
      </c>
      <c r="B21" s="15" t="s">
        <v>43</v>
      </c>
      <c r="C21" s="12" t="s">
        <v>46</v>
      </c>
      <c r="D21" s="13" t="n">
        <f aca="false">COUNTIF('5 T3 Output'!$I$15:$I$34,"Agreed")+COUNTIF('5 T3 Output'!$I$38:$I$43,"Agreed")</f>
        <v>5</v>
      </c>
      <c r="E21" s="13" t="n">
        <f aca="false">COUNTIF('5 T3 Output'!$I$15:$I$34,"Proposed")+COUNTIF('5 T3 Output'!$I$38:$I$43,"Proposed")</f>
        <v>5</v>
      </c>
      <c r="F21" s="13" t="n">
        <f aca="false">COUNTIF('5 T3 Output'!$I$15:$I$34,"Draft")+COUNTIF('5 T3 Output'!$I$38:$I$43,"Draft")</f>
        <v>12</v>
      </c>
      <c r="G21" s="13" t="n">
        <f aca="false">COUNTIF('5 T3 Output'!$I$15:$I$34,"Needs detail")+COUNTIF('5 T3 Output'!$I$38:$I$43,"Needs detail")</f>
        <v>0</v>
      </c>
      <c r="H21" s="13" t="n">
        <f aca="false">COUNTIF('5 T3 Output'!$I$15:$I$34,"Not started")+COUNTIF('5 T3 Output'!$I$38:$I$43,"Not started")</f>
        <v>0</v>
      </c>
      <c r="I21" s="13" t="n">
        <f aca="false">SUM(D21:H21)</f>
        <v>22</v>
      </c>
      <c r="J21" s="14" t="n">
        <f aca="false">IF(I21=0,0,D21/I21)</f>
        <v>0.227272727272727</v>
      </c>
      <c r="K21" s="13" t="n">
        <f aca="false">COUNTIFS('5 T3 Output'!$I$15:$I$34,"Needs detail",'5 T3 Output'!$G$15:$G$34,"")+COUNTIFS('5 T3 Output'!$I$15:$I$34,"Not started",'5 T3 Output'!$G$15:$G$34,"")+COUNTIFS('5 T3 Output'!$I$38:$I$43,"Needs detail",'5 T3 Output'!$G$38:$G$43,"")+COUNTIFS('5 T3 Output'!$I$38:$I$43,"Not started",'5 T3 Output'!$G$38:$G$43,"")</f>
        <v>0</v>
      </c>
    </row>
    <row r="22" customFormat="false" ht="15" hidden="false" customHeight="false" outlineLevel="0" collapsed="false">
      <c r="A22" s="10" t="str">
        <f aca="false">HYPERLINK("#'5b T4 Status'!A1","5b T4 Status")</f>
        <v>5b T4 Status</v>
      </c>
      <c r="B22" s="15" t="s">
        <v>43</v>
      </c>
      <c r="C22" s="12" t="s">
        <v>47</v>
      </c>
      <c r="D22" s="13" t="n">
        <f aca="false">COUNTIF('5b T4 Status'!$I$13:$I$20,"Agreed")</f>
        <v>1</v>
      </c>
      <c r="E22" s="13" t="n">
        <f aca="false">COUNTIF('5b T4 Status'!$I$13:$I$20,"Proposed")</f>
        <v>5</v>
      </c>
      <c r="F22" s="13" t="n">
        <f aca="false">COUNTIF('5b T4 Status'!$I$13:$I$20,"Draft")</f>
        <v>0</v>
      </c>
      <c r="G22" s="13" t="n">
        <f aca="false">COUNTIF('5b T4 Status'!$I$13:$I$20,"Needs detail")</f>
        <v>0</v>
      </c>
      <c r="H22" s="13" t="n">
        <f aca="false">COUNTIF('5b T4 Status'!$I$13:$I$20,"Not started")</f>
        <v>0</v>
      </c>
      <c r="I22" s="13" t="n">
        <f aca="false">SUM(D22:H22)</f>
        <v>6</v>
      </c>
      <c r="J22" s="14" t="n">
        <f aca="false">IF(I22=0,0,D22/I22)</f>
        <v>0.166666666666667</v>
      </c>
      <c r="K22" s="13" t="n">
        <f aca="false">COUNTIFS('5b T4 Status'!$I$13:$I$20,"Needs detail",'5b T4 Status'!$G$13:$G$20,"")+COUNTIFS('5b T4 Status'!$I$13:$I$20,"Not started",'5b T4 Status'!$G$13:$G$20,"")</f>
        <v>0</v>
      </c>
    </row>
    <row r="23" customFormat="false" ht="15" hidden="false" customHeight="false" outlineLevel="0" collapsed="false">
      <c r="A23" s="10" t="str">
        <f aca="false">HYPERLINK("#'6 World Grids'!A1","6 World Grids")</f>
        <v>6 World Grids</v>
      </c>
      <c r="B23" s="16" t="s">
        <v>48</v>
      </c>
      <c r="C23" s="12" t="s">
        <v>49</v>
      </c>
      <c r="D23" s="13" t="n">
        <f aca="false">COUNTIF('6 World Grids'!$H$7:$H$10,"Agreed")+COUNTIF('6 World Grids'!$H$14:$H$22,"Agreed")</f>
        <v>6</v>
      </c>
      <c r="E23" s="13" t="n">
        <f aca="false">COUNTIF('6 World Grids'!$H$7:$H$10,"Proposed")+COUNTIF('6 World Grids'!$H$14:$H$22,"Proposed")</f>
        <v>6</v>
      </c>
      <c r="F23" s="13" t="n">
        <f aca="false">COUNTIF('6 World Grids'!$H$7:$H$10,"Draft")+COUNTIF('6 World Grids'!$H$14:$H$22,"Draft")</f>
        <v>0</v>
      </c>
      <c r="G23" s="13" t="n">
        <f aca="false">COUNTIF('6 World Grids'!$H$7:$H$10,"Needs detail")+COUNTIF('6 World Grids'!$H$14:$H$22,"Needs detail")</f>
        <v>0</v>
      </c>
      <c r="H23" s="13" t="n">
        <f aca="false">COUNTIF('6 World Grids'!$H$7:$H$10,"Not started")+COUNTIF('6 World Grids'!$H$14:$H$22,"Not started")</f>
        <v>0</v>
      </c>
      <c r="I23" s="13" t="n">
        <f aca="false">SUM(D23:H23)</f>
        <v>12</v>
      </c>
      <c r="J23" s="14" t="n">
        <f aca="false">IF(I23=0,0,D23/I23)</f>
        <v>0.5</v>
      </c>
      <c r="K23" s="13" t="n">
        <f aca="false">COUNTIFS('6 World Grids'!$H$7:$H$10,"Needs detail",'6 World Grids'!$F$7:$F$10,"")+COUNTIFS('6 World Grids'!$H$7:$H$10,"Not started",'6 World Grids'!$F$7:$F$10,"")+COUNTIFS('6 World Grids'!$H$14:$H$22,"Needs detail",'6 World Grids'!$F$14:$F$22,"")+COUNTIFS('6 World Grids'!$H$14:$H$22,"Not started",'6 World Grids'!$F$14:$F$22,"")</f>
        <v>0</v>
      </c>
    </row>
    <row r="24" customFormat="false" ht="15" hidden="false" customHeight="false" outlineLevel="0" collapsed="false">
      <c r="A24" s="10" t="str">
        <f aca="false">HYPERLINK("#'7 Stellar'!A1","7 Stellar")</f>
        <v>7 Stellar</v>
      </c>
      <c r="B24" s="16" t="s">
        <v>48</v>
      </c>
      <c r="C24" s="12" t="s">
        <v>50</v>
      </c>
      <c r="D24" s="13" t="n">
        <f aca="false">COUNTIF('7 Stellar'!$H$7:$H$10,"Agreed")+COUNTIF('7 Stellar'!$H$14:$H$19,"Agreed")+COUNTIF('7 Stellar'!$H$23:$H$26,"Agreed")</f>
        <v>5</v>
      </c>
      <c r="E24" s="13" t="n">
        <f aca="false">COUNTIF('7 Stellar'!$H$7:$H$10,"Proposed")+COUNTIF('7 Stellar'!$H$14:$H$19,"Proposed")+COUNTIF('7 Stellar'!$H$23:$H$26,"Proposed")</f>
        <v>7</v>
      </c>
      <c r="F24" s="13" t="n">
        <f aca="false">COUNTIF('7 Stellar'!$H$7:$H$10,"Draft")+COUNTIF('7 Stellar'!$H$14:$H$19,"Draft")+COUNTIF('7 Stellar'!$H$23:$H$26,"Draft")</f>
        <v>0</v>
      </c>
      <c r="G24" s="13" t="n">
        <f aca="false">COUNTIF('7 Stellar'!$H$7:$H$10,"Needs detail")+COUNTIF('7 Stellar'!$H$14:$H$19,"Needs detail")+COUNTIF('7 Stellar'!$H$23:$H$26,"Needs detail")</f>
        <v>0</v>
      </c>
      <c r="H24" s="13" t="n">
        <f aca="false">COUNTIF('7 Stellar'!$H$7:$H$10,"Not started")+COUNTIF('7 Stellar'!$H$14:$H$19,"Not started")+COUNTIF('7 Stellar'!$H$23:$H$26,"Not started")</f>
        <v>0</v>
      </c>
      <c r="I24" s="13" t="n">
        <f aca="false">SUM(D24:H24)</f>
        <v>12</v>
      </c>
      <c r="J24" s="14" t="n">
        <f aca="false">IF(I24=0,0,D24/I24)</f>
        <v>0.416666666666667</v>
      </c>
      <c r="K24" s="13" t="n">
        <f aca="false">COUNTIFS('7 Stellar'!$H$7:$H$10,"Needs detail",'7 Stellar'!$F$7:$F$10,"")+COUNTIFS('7 Stellar'!$H$7:$H$10,"Not started",'7 Stellar'!$F$7:$F$10,"")+COUNTIFS('7 Stellar'!$H$14:$H$19,"Needs detail",'7 Stellar'!$F$14:$F$19,"")+COUNTIFS('7 Stellar'!$H$14:$H$19,"Not started",'7 Stellar'!$F$14:$F$19,"")+COUNTIFS('7 Stellar'!$H$23:$H$26,"Needs detail",'7 Stellar'!$F$23:$F$26,"")+COUNTIFS('7 Stellar'!$H$23:$H$26,"Not started",'7 Stellar'!$F$23:$F$26,"")</f>
        <v>0</v>
      </c>
    </row>
    <row r="25" customFormat="false" ht="15" hidden="false" customHeight="false" outlineLevel="0" collapsed="false">
      <c r="A25" s="10" t="str">
        <f aca="false">HYPERLINK("#'8 Hazards'!A1","8 Hazards")</f>
        <v>8 Hazards</v>
      </c>
      <c r="B25" s="16" t="s">
        <v>48</v>
      </c>
      <c r="C25" s="12" t="s">
        <v>51</v>
      </c>
      <c r="D25" s="13" t="n">
        <f aca="false">COUNTIF('8 Hazards'!$I$7:$I$17,"Agreed")</f>
        <v>5</v>
      </c>
      <c r="E25" s="13" t="n">
        <f aca="false">COUNTIF('8 Hazards'!$I$7:$I$17,"Proposed")</f>
        <v>5</v>
      </c>
      <c r="F25" s="13" t="n">
        <f aca="false">COUNTIF('8 Hazards'!$I$7:$I$17,"Draft")</f>
        <v>0</v>
      </c>
      <c r="G25" s="13" t="n">
        <f aca="false">COUNTIF('8 Hazards'!$I$7:$I$17,"Needs detail")</f>
        <v>0</v>
      </c>
      <c r="H25" s="13" t="n">
        <f aca="false">COUNTIF('8 Hazards'!$I$7:$I$17,"Not started")</f>
        <v>0</v>
      </c>
      <c r="I25" s="13" t="n">
        <f aca="false">SUM(D25:H25)</f>
        <v>10</v>
      </c>
      <c r="J25" s="14" t="n">
        <f aca="false">IF(I25=0,0,D25/I25)</f>
        <v>0.5</v>
      </c>
      <c r="K25" s="13" t="n">
        <f aca="false">COUNTIFS('8 Hazards'!$I$7:$I$17,"Needs detail",'8 Hazards'!$G$7:$G$17,"")+COUNTIFS('8 Hazards'!$I$7:$I$17,"Not started",'8 Hazards'!$G$7:$G$17,"")</f>
        <v>0</v>
      </c>
    </row>
    <row r="26" customFormat="false" ht="15" hidden="false" customHeight="false" outlineLevel="0" collapsed="false">
      <c r="A26" s="10" t="str">
        <f aca="false">HYPERLINK("#'9 Ships'!A1","9 Ships")</f>
        <v>9 Ships</v>
      </c>
      <c r="B26" s="17" t="s">
        <v>52</v>
      </c>
      <c r="C26" s="12" t="s">
        <v>53</v>
      </c>
      <c r="D26" s="13" t="n">
        <f aca="false">COUNTIF('9 Ships'!$H$7:$H$17,"Agreed")+COUNTIF('9 Ships'!$H$21:$H$27,"Agreed")+COUNTIF('9 Ships'!$H$52:$H$57,"Agreed")</f>
        <v>7</v>
      </c>
      <c r="E26" s="13" t="n">
        <f aca="false">COUNTIF('9 Ships'!$H$7:$H$17,"Proposed")+COUNTIF('9 Ships'!$H$21:$H$27,"Proposed")+COUNTIF('9 Ships'!$H$52:$H$57,"Proposed")</f>
        <v>11</v>
      </c>
      <c r="F26" s="13" t="n">
        <f aca="false">COUNTIF('9 Ships'!$H$7:$H$17,"Draft")+COUNTIF('9 Ships'!$H$21:$H$27,"Draft")+COUNTIF('9 Ships'!$H$52:$H$57,"Draft")</f>
        <v>0</v>
      </c>
      <c r="G26" s="13" t="n">
        <f aca="false">COUNTIF('9 Ships'!$H$7:$H$17,"Needs detail")+COUNTIF('9 Ships'!$H$21:$H$27,"Needs detail")+COUNTIF('9 Ships'!$H$52:$H$57,"Needs detail")</f>
        <v>1</v>
      </c>
      <c r="H26" s="13" t="n">
        <f aca="false">COUNTIF('9 Ships'!$H$7:$H$17,"Not started")+COUNTIF('9 Ships'!$H$21:$H$27,"Not started")+COUNTIF('9 Ships'!$H$52:$H$57,"Not started")</f>
        <v>0</v>
      </c>
      <c r="I26" s="13" t="n">
        <f aca="false">SUM(D26:H26)</f>
        <v>19</v>
      </c>
      <c r="J26" s="14" t="n">
        <f aca="false">IF(I26=0,0,D26/I26)</f>
        <v>0.368421052631579</v>
      </c>
      <c r="K26" s="13" t="n">
        <f aca="false">COUNTIFS('9 Ships'!$H$7:$H$17,"Needs detail",'9 Ships'!$F$7:$F$17,"")+COUNTIFS('9 Ships'!$H$7:$H$17,"Not started",'9 Ships'!$F$7:$F$17,"")+COUNTIFS('9 Ships'!$H$21:$H$27,"Needs detail",'9 Ships'!$F$21:$F$27,"")+COUNTIFS('9 Ships'!$H$21:$H$27,"Not started",'9 Ships'!$F$21:$F$27,"")+COUNTIFS('9 Ships'!$H$52:$H$57,"Needs detail",'9 Ships'!$F$52:$F$57,"")+COUNTIFS('9 Ships'!$H$52:$H$57,"Not started",'9 Ships'!$F$52:$F$57,"")</f>
        <v>1</v>
      </c>
    </row>
    <row r="27" customFormat="false" ht="15" hidden="false" customHeight="false" outlineLevel="0" collapsed="false">
      <c r="A27" s="10" t="str">
        <f aca="false">HYPERLINK("#'10 Captain'!A1","10 Captain")</f>
        <v>10 Captain</v>
      </c>
      <c r="B27" s="17" t="s">
        <v>52</v>
      </c>
      <c r="C27" s="12" t="s">
        <v>54</v>
      </c>
      <c r="D27" s="13" t="n">
        <f aca="false">COUNTIF('10 Captain'!$H$7:$H$17,"Agreed")+COUNTIF('10 Captain'!$H$21:$H$26,"Agreed")+COUNTIF('10 Captain'!$H$30:$H$38,"Agreed")</f>
        <v>13</v>
      </c>
      <c r="E27" s="13" t="n">
        <f aca="false">COUNTIF('10 Captain'!$H$7:$H$17,"Proposed")+COUNTIF('10 Captain'!$H$21:$H$26,"Proposed")+COUNTIF('10 Captain'!$H$30:$H$38,"Proposed")</f>
        <v>10</v>
      </c>
      <c r="F27" s="13" t="n">
        <f aca="false">COUNTIF('10 Captain'!$H$7:$H$17,"Draft")+COUNTIF('10 Captain'!$H$21:$H$26,"Draft")+COUNTIF('10 Captain'!$H$30:$H$38,"Draft")</f>
        <v>0</v>
      </c>
      <c r="G27" s="13" t="n">
        <f aca="false">COUNTIF('10 Captain'!$H$7:$H$17,"Needs detail")+COUNTIF('10 Captain'!$H$21:$H$26,"Needs detail")+COUNTIF('10 Captain'!$H$30:$H$38,"Needs detail")</f>
        <v>0</v>
      </c>
      <c r="H27" s="13" t="n">
        <f aca="false">COUNTIF('10 Captain'!$H$7:$H$17,"Not started")+COUNTIF('10 Captain'!$H$21:$H$26,"Not started")+COUNTIF('10 Captain'!$H$30:$H$38,"Not started")</f>
        <v>0</v>
      </c>
      <c r="I27" s="13" t="n">
        <f aca="false">SUM(D27:H27)</f>
        <v>23</v>
      </c>
      <c r="J27" s="14" t="n">
        <f aca="false">IF(I27=0,0,D27/I27)</f>
        <v>0.565217391304348</v>
      </c>
      <c r="K27" s="13" t="n">
        <f aca="false">COUNTIFS('10 Captain'!$H$7:$H$17,"Needs detail",'10 Captain'!$F$7:$F$17,"")+COUNTIFS('10 Captain'!$H$7:$H$17,"Not started",'10 Captain'!$F$7:$F$17,"")+COUNTIFS('10 Captain'!$H$21:$H$26,"Needs detail",'10 Captain'!$F$21:$F$26,"")+COUNTIFS('10 Captain'!$H$21:$H$26,"Not started",'10 Captain'!$F$21:$F$26,"")+COUNTIFS('10 Captain'!$H$30:$H$38,"Needs detail",'10 Captain'!$F$30:$F$38,"")+COUNTIFS('10 Captain'!$H$30:$H$38,"Not started",'10 Captain'!$F$30:$F$38,"")</f>
        <v>0</v>
      </c>
    </row>
    <row r="28" customFormat="false" ht="15" hidden="false" customHeight="false" outlineLevel="0" collapsed="false">
      <c r="A28" s="10" t="str">
        <f aca="false">HYPERLINK("#'11 Items &amp; Planets'!A1","11 Items &amp; Planets")</f>
        <v>11 Items &amp; Planets</v>
      </c>
      <c r="B28" s="17" t="s">
        <v>52</v>
      </c>
      <c r="C28" s="12" t="s">
        <v>55</v>
      </c>
      <c r="D28" s="13" t="n">
        <f aca="false">COUNTIF('11 Items &amp; Planets'!$H$7:$H$12,"Agreed")+COUNTIF('11 Items &amp; Planets'!$H$17:$H$24,"Agreed")+COUNTIF('11 Items &amp; Planets'!$H$29:$H$43,"Agreed")+COUNTIF('11 Items &amp; Planets'!$H$47:$H$53,"Agreed")+COUNTIF('11 Items &amp; Planets'!$H$57:$H$62,"Agreed")</f>
        <v>14</v>
      </c>
      <c r="E28" s="13" t="n">
        <f aca="false">COUNTIF('11 Items &amp; Planets'!$H$7:$H$12,"Proposed")+COUNTIF('11 Items &amp; Planets'!$H$17:$H$24,"Proposed")+COUNTIF('11 Items &amp; Planets'!$H$29:$H$43,"Proposed")+COUNTIF('11 Items &amp; Planets'!$H$47:$H$53,"Proposed")+COUNTIF('11 Items &amp; Planets'!$H$57:$H$62,"Proposed")</f>
        <v>21</v>
      </c>
      <c r="F28" s="13" t="n">
        <f aca="false">COUNTIF('11 Items &amp; Planets'!$H$7:$H$12,"Draft")+COUNTIF('11 Items &amp; Planets'!$H$17:$H$24,"Draft")+COUNTIF('11 Items &amp; Planets'!$H$29:$H$43,"Draft")+COUNTIF('11 Items &amp; Planets'!$H$47:$H$53,"Draft")+COUNTIF('11 Items &amp; Planets'!$H$57:$H$62,"Draft")</f>
        <v>0</v>
      </c>
      <c r="G28" s="13" t="n">
        <f aca="false">COUNTIF('11 Items &amp; Planets'!$H$7:$H$12,"Needs detail")+COUNTIF('11 Items &amp; Planets'!$H$17:$H$24,"Needs detail")+COUNTIF('11 Items &amp; Planets'!$H$29:$H$43,"Needs detail")+COUNTIF('11 Items &amp; Planets'!$H$47:$H$53,"Needs detail")+COUNTIF('11 Items &amp; Planets'!$H$57:$H$62,"Needs detail")</f>
        <v>0</v>
      </c>
      <c r="H28" s="13" t="n">
        <f aca="false">COUNTIF('11 Items &amp; Planets'!$H$7:$H$12,"Not started")+COUNTIF('11 Items &amp; Planets'!$H$17:$H$24,"Not started")+COUNTIF('11 Items &amp; Planets'!$H$29:$H$43,"Not started")+COUNTIF('11 Items &amp; Planets'!$H$47:$H$53,"Not started")+COUNTIF('11 Items &amp; Planets'!$H$57:$H$62,"Not started")</f>
        <v>0</v>
      </c>
      <c r="I28" s="13" t="n">
        <f aca="false">SUM(D28:H28)</f>
        <v>35</v>
      </c>
      <c r="J28" s="14" t="n">
        <f aca="false">IF(I28=0,0,D28/I28)</f>
        <v>0.4</v>
      </c>
      <c r="K28" s="13" t="n">
        <f aca="false">COUNTIFS('11 Items &amp; Planets'!$H$7:$H$12,"Needs detail",'11 Items &amp; Planets'!$F$7:$F$12,"")+COUNTIFS('11 Items &amp; Planets'!$H$7:$H$12,"Not started",'11 Items &amp; Planets'!$F$7:$F$12,"")+COUNTIFS('11 Items &amp; Planets'!$H$17:$H$24,"Needs detail",'11 Items &amp; Planets'!$F$17:$F$24,"")+COUNTIFS('11 Items &amp; Planets'!$H$17:$H$24,"Not started",'11 Items &amp; Planets'!$F$17:$F$24,"")+COUNTIFS('11 Items &amp; Planets'!$H$29:$H$43,"Needs detail",'11 Items &amp; Planets'!$F$29:$F$43,"")+COUNTIFS('11 Items &amp; Planets'!$H$29:$H$43,"Not started",'11 Items &amp; Planets'!$F$29:$F$43,"")+COUNTIFS('11 Items &amp; Planets'!$H$47:$H$53,"Needs detail",'11 Items &amp; Planets'!$F$47:$F$53,"")+COUNTIFS('11 Items &amp; Planets'!$H$47:$H$53,"Not started",'11 Items &amp; Planets'!$F$47:$F$53,"")+COUNTIFS('11 Items &amp; Planets'!$H$57:$H$62,"Needs detail",'11 Items &amp; Planets'!$F$57:$F$62,"")+COUNTIFS('11 Items &amp; Planets'!$H$57:$H$62,"Not started",'11 Items &amp; Planets'!$F$57:$F$62,"")</f>
        <v>0</v>
      </c>
    </row>
    <row r="29" customFormat="false" ht="15" hidden="false" customHeight="false" outlineLevel="0" collapsed="false">
      <c r="A29" s="10" t="str">
        <f aca="false">HYPERLINK("#'12 Trade &amp; Economy'!A1","12 Trade &amp; Economy")</f>
        <v>12 Trade &amp; Economy</v>
      </c>
      <c r="B29" s="18" t="s">
        <v>56</v>
      </c>
      <c r="C29" s="12" t="s">
        <v>57</v>
      </c>
      <c r="D29" s="13" t="n">
        <f aca="false">COUNTIF('12 Trade &amp; Economy'!$H$7:$H$17,"Agreed")+COUNTIF('12 Trade &amp; Economy'!$H$22:$H$27,"Agreed")+COUNTIF('12 Trade &amp; Economy'!$H$32:$H$37,"Agreed")</f>
        <v>17</v>
      </c>
      <c r="E29" s="13" t="n">
        <f aca="false">COUNTIF('12 Trade &amp; Economy'!$H$7:$H$17,"Proposed")+COUNTIF('12 Trade &amp; Economy'!$H$22:$H$27,"Proposed")+COUNTIF('12 Trade &amp; Economy'!$H$32:$H$37,"Proposed")</f>
        <v>3</v>
      </c>
      <c r="F29" s="13" t="n">
        <f aca="false">COUNTIF('12 Trade &amp; Economy'!$H$7:$H$17,"Draft")+COUNTIF('12 Trade &amp; Economy'!$H$22:$H$27,"Draft")+COUNTIF('12 Trade &amp; Economy'!$H$32:$H$37,"Draft")</f>
        <v>0</v>
      </c>
      <c r="G29" s="13" t="n">
        <f aca="false">COUNTIF('12 Trade &amp; Economy'!$H$7:$H$17,"Needs detail")+COUNTIF('12 Trade &amp; Economy'!$H$22:$H$27,"Needs detail")+COUNTIF('12 Trade &amp; Economy'!$H$32:$H$37,"Needs detail")</f>
        <v>0</v>
      </c>
      <c r="H29" s="13" t="n">
        <f aca="false">COUNTIF('12 Trade &amp; Economy'!$H$7:$H$17,"Not started")+COUNTIF('12 Trade &amp; Economy'!$H$22:$H$27,"Not started")+COUNTIF('12 Trade &amp; Economy'!$H$32:$H$37,"Not started")</f>
        <v>0</v>
      </c>
      <c r="I29" s="13" t="n">
        <f aca="false">SUM(D29:H29)</f>
        <v>20</v>
      </c>
      <c r="J29" s="14" t="n">
        <f aca="false">IF(I29=0,0,D29/I29)</f>
        <v>0.85</v>
      </c>
      <c r="K29" s="13" t="n">
        <f aca="false">COUNTIFS('12 Trade &amp; Economy'!$H$7:$H$17,"Needs detail",'12 Trade &amp; Economy'!$F$7:$F$17,"")+COUNTIFS('12 Trade &amp; Economy'!$H$7:$H$17,"Not started",'12 Trade &amp; Economy'!$F$7:$F$17,"")+COUNTIFS('12 Trade &amp; Economy'!$H$22:$H$27,"Needs detail",'12 Trade &amp; Economy'!$F$22:$F$27,"")+COUNTIFS('12 Trade &amp; Economy'!$H$22:$H$27,"Not started",'12 Trade &amp; Economy'!$F$22:$F$27,"")+COUNTIFS('12 Trade &amp; Economy'!$H$32:$H$37,"Needs detail",'12 Trade &amp; Economy'!$F$32:$F$37,"")+COUNTIFS('12 Trade &amp; Economy'!$H$32:$H$37,"Not started",'12 Trade &amp; Economy'!$F$32:$F$37,"")</f>
        <v>0</v>
      </c>
    </row>
    <row r="30" customFormat="false" ht="15" hidden="false" customHeight="false" outlineLevel="0" collapsed="false">
      <c r="A30" s="10" t="str">
        <f aca="false">HYPERLINK("#'13 Combat'!A1","13 Combat")</f>
        <v>13 Combat</v>
      </c>
      <c r="B30" s="18" t="s">
        <v>56</v>
      </c>
      <c r="C30" s="12" t="s">
        <v>58</v>
      </c>
      <c r="D30" s="13" t="n">
        <f aca="false">COUNTIF('13 Combat'!$I$7:$I$11,"Agreed")+COUNTIF('13 Combat'!$I$16:$I$30,"Agreed")</f>
        <v>6</v>
      </c>
      <c r="E30" s="13" t="n">
        <f aca="false">COUNTIF('13 Combat'!$I$7:$I$11,"Proposed")+COUNTIF('13 Combat'!$I$16:$I$30,"Proposed")</f>
        <v>11</v>
      </c>
      <c r="F30" s="13" t="n">
        <f aca="false">COUNTIF('13 Combat'!$I$7:$I$11,"Draft")+COUNTIF('13 Combat'!$I$16:$I$30,"Draft")</f>
        <v>0</v>
      </c>
      <c r="G30" s="13" t="n">
        <f aca="false">COUNTIF('13 Combat'!$I$7:$I$11,"Needs detail")+COUNTIF('13 Combat'!$I$16:$I$30,"Needs detail")</f>
        <v>0</v>
      </c>
      <c r="H30" s="13" t="n">
        <f aca="false">COUNTIF('13 Combat'!$I$7:$I$11,"Not started")+COUNTIF('13 Combat'!$I$16:$I$30,"Not started")</f>
        <v>0</v>
      </c>
      <c r="I30" s="13" t="n">
        <f aca="false">SUM(D30:H30)</f>
        <v>17</v>
      </c>
      <c r="J30" s="14" t="n">
        <f aca="false">IF(I30=0,0,D30/I30)</f>
        <v>0.352941176470588</v>
      </c>
      <c r="K30" s="13" t="n">
        <f aca="false">COUNTIFS('13 Combat'!$I$7:$I$11,"Needs detail",'13 Combat'!$G$7:$G$11,"")+COUNTIFS('13 Combat'!$I$7:$I$11,"Not started",'13 Combat'!$G$7:$G$11,"")+COUNTIFS('13 Combat'!$I$16:$I$30,"Needs detail",'13 Combat'!$G$16:$G$30,"")+COUNTIFS('13 Combat'!$I$16:$I$30,"Not started",'13 Combat'!$G$16:$G$30,"")</f>
        <v>0</v>
      </c>
    </row>
    <row r="31" customFormat="false" ht="15" hidden="false" customHeight="false" outlineLevel="0" collapsed="false">
      <c r="A31" s="10" t="str">
        <f aca="false">HYPERLINK("#'14 Fear &amp; Respect'!A1","14 Fear &amp; Respect")</f>
        <v>14 Fear &amp; Respect</v>
      </c>
      <c r="B31" s="18" t="s">
        <v>56</v>
      </c>
      <c r="C31" s="12" t="s">
        <v>59</v>
      </c>
      <c r="D31" s="13" t="n">
        <f aca="false">COUNTIF('14 Fear &amp; Respect'!$I$8:$I$19,"Agreed")+COUNTIF('14 Fear &amp; Respect'!$I$23:$I$28,"Agreed")+COUNTIF('14 Fear &amp; Respect'!$I$33:$I$40,"Agreed")</f>
        <v>8</v>
      </c>
      <c r="E31" s="13" t="n">
        <f aca="false">COUNTIF('14 Fear &amp; Respect'!$I$8:$I$19,"Proposed")+COUNTIF('14 Fear &amp; Respect'!$I$23:$I$28,"Proposed")+COUNTIF('14 Fear &amp; Respect'!$I$33:$I$40,"Proposed")</f>
        <v>14</v>
      </c>
      <c r="F31" s="13" t="n">
        <f aca="false">COUNTIF('14 Fear &amp; Respect'!$I$8:$I$19,"Draft")+COUNTIF('14 Fear &amp; Respect'!$I$23:$I$28,"Draft")+COUNTIF('14 Fear &amp; Respect'!$I$33:$I$40,"Draft")</f>
        <v>0</v>
      </c>
      <c r="G31" s="13" t="n">
        <f aca="false">COUNTIF('14 Fear &amp; Respect'!$I$8:$I$19,"Needs detail")+COUNTIF('14 Fear &amp; Respect'!$I$23:$I$28,"Needs detail")+COUNTIF('14 Fear &amp; Respect'!$I$33:$I$40,"Needs detail")</f>
        <v>0</v>
      </c>
      <c r="H31" s="13" t="n">
        <f aca="false">COUNTIF('14 Fear &amp; Respect'!$I$8:$I$19,"Not started")+COUNTIF('14 Fear &amp; Respect'!$I$23:$I$28,"Not started")+COUNTIF('14 Fear &amp; Respect'!$I$33:$I$40,"Not started")</f>
        <v>0</v>
      </c>
      <c r="I31" s="13" t="n">
        <f aca="false">SUM(D31:H31)</f>
        <v>22</v>
      </c>
      <c r="J31" s="14" t="n">
        <f aca="false">IF(I31=0,0,D31/I31)</f>
        <v>0.363636363636364</v>
      </c>
      <c r="K31" s="13" t="n">
        <f aca="false">COUNTIFS('14 Fear &amp; Respect'!$I$8:$I$19,"Needs detail",'14 Fear &amp; Respect'!$G$8:$G$19,"")+COUNTIFS('14 Fear &amp; Respect'!$I$8:$I$19,"Not started",'14 Fear &amp; Respect'!$G$8:$G$19,"")+COUNTIFS('14 Fear &amp; Respect'!$I$23:$I$28,"Needs detail",'14 Fear &amp; Respect'!$G$23:$G$28,"")+COUNTIFS('14 Fear &amp; Respect'!$I$23:$I$28,"Not started",'14 Fear &amp; Respect'!$G$23:$G$28,"")+COUNTIFS('14 Fear &amp; Respect'!$I$33:$I$40,"Needs detail",'14 Fear &amp; Respect'!$G$33:$G$40,"")+COUNTIFS('14 Fear &amp; Respect'!$I$33:$I$40,"Not started",'14 Fear &amp; Respect'!$G$33:$G$40,"")</f>
        <v>0</v>
      </c>
    </row>
    <row r="32" customFormat="false" ht="15" hidden="false" customHeight="false" outlineLevel="0" collapsed="false">
      <c r="A32" s="10" t="str">
        <f aca="false">HYPERLINK("#'15 Config Keys'!A1","15 Config Keys")</f>
        <v>15 Config Keys</v>
      </c>
      <c r="B32" s="19" t="s">
        <v>60</v>
      </c>
      <c r="C32" s="12" t="s">
        <v>61</v>
      </c>
      <c r="D32" s="13" t="n">
        <f aca="false">COUNTIF('15 Config Keys'!$K$8:$K$71,"Agreed")</f>
        <v>17</v>
      </c>
      <c r="E32" s="13" t="n">
        <f aca="false">COUNTIF('15 Config Keys'!$K$8:$K$71,"Proposed")</f>
        <v>43</v>
      </c>
      <c r="F32" s="13" t="n">
        <f aca="false">COUNTIF('15 Config Keys'!$K$8:$K$71,"Draft")</f>
        <v>0</v>
      </c>
      <c r="G32" s="13" t="n">
        <f aca="false">COUNTIF('15 Config Keys'!$K$8:$K$71,"Needs detail")</f>
        <v>0</v>
      </c>
      <c r="H32" s="13" t="n">
        <f aca="false">COUNTIF('15 Config Keys'!$K$8:$K$71,"Not started")</f>
        <v>0</v>
      </c>
      <c r="I32" s="13" t="n">
        <f aca="false">SUM(D32:H32)</f>
        <v>60</v>
      </c>
      <c r="J32" s="14" t="n">
        <f aca="false">IF(I32=0,0,D32/I32)</f>
        <v>0.283333333333333</v>
      </c>
      <c r="K32" s="13" t="n">
        <f aca="false">COUNTIFS('15 Config Keys'!$K$8:$K$71,"Needs detail",'15 Config Keys'!$I$8:$I$71,"")+COUNTIFS('15 Config Keys'!$K$8:$K$71,"Not started",'15 Config Keys'!$I$8:$I$71,"")</f>
        <v>0</v>
      </c>
    </row>
    <row r="33" customFormat="false" ht="15" hidden="false" customHeight="false" outlineLevel="0" collapsed="false">
      <c r="A33" s="10" t="str">
        <f aca="false">HYPERLINK("#'16 Open Questions'!A1","16 Open Questions")</f>
        <v>16 Open Questions</v>
      </c>
      <c r="B33" s="20" t="s">
        <v>62</v>
      </c>
      <c r="C33" s="12" t="s">
        <v>63</v>
      </c>
      <c r="D33" s="13" t="n">
        <f aca="false">COUNTIF('16 Open Questions'!$G$6:$G$45,"Agreed")</f>
        <v>37</v>
      </c>
      <c r="E33" s="13" t="n">
        <f aca="false">COUNTIF('16 Open Questions'!$G$6:$G$45,"Proposed")</f>
        <v>0</v>
      </c>
      <c r="F33" s="13" t="n">
        <f aca="false">COUNTIF('16 Open Questions'!$G$6:$G$45,"Draft")</f>
        <v>0</v>
      </c>
      <c r="G33" s="13" t="n">
        <f aca="false">COUNTIF('16 Open Questions'!$G$6:$G$45,"Needs detail")</f>
        <v>0</v>
      </c>
      <c r="H33" s="13" t="n">
        <f aca="false">COUNTIF('16 Open Questions'!$G$6:$G$45,"Not started")</f>
        <v>0</v>
      </c>
      <c r="I33" s="13" t="n">
        <f aca="false">SUM(D33:H33)</f>
        <v>37</v>
      </c>
      <c r="J33" s="14" t="n">
        <f aca="false">IF(I33=0,0,D33/I33)</f>
        <v>1</v>
      </c>
      <c r="K33" s="13" t="s">
        <v>64</v>
      </c>
    </row>
    <row r="34" customFormat="false" ht="15" hidden="false" customHeight="false" outlineLevel="0" collapsed="false">
      <c r="A34" s="10" t="str">
        <f aca="false">HYPERLINK("#'17 Decisions'!A1","17 Decisions")</f>
        <v>17 Decisions</v>
      </c>
      <c r="B34" s="21" t="s">
        <v>65</v>
      </c>
      <c r="C34" s="12" t="s">
        <v>66</v>
      </c>
      <c r="D34" s="13" t="n">
        <f aca="false">COUNTIF('17 Decisions'!$F$6:$F$64,"Agreed")</f>
        <v>53</v>
      </c>
      <c r="E34" s="13" t="n">
        <f aca="false">COUNTIF('17 Decisions'!$F$6:$F$64,"Proposed")</f>
        <v>0</v>
      </c>
      <c r="F34" s="13" t="n">
        <f aca="false">COUNTIF('17 Decisions'!$F$6:$F$64,"Draft")</f>
        <v>0</v>
      </c>
      <c r="G34" s="13" t="n">
        <f aca="false">COUNTIF('17 Decisions'!$F$6:$F$64,"Needs detail")</f>
        <v>0</v>
      </c>
      <c r="H34" s="13" t="n">
        <f aca="false">COUNTIF('17 Decisions'!$F$6:$F$64,"Not started")</f>
        <v>0</v>
      </c>
      <c r="I34" s="13" t="n">
        <f aca="false">SUM(D34:H34)</f>
        <v>53</v>
      </c>
      <c r="J34" s="14" t="n">
        <f aca="false">IF(I34=0,0,D34/I34)</f>
        <v>1</v>
      </c>
      <c r="K34" s="13" t="s">
        <v>64</v>
      </c>
    </row>
    <row r="35" customFormat="false" ht="15" hidden="false" customHeight="false" outlineLevel="0" collapsed="false">
      <c r="A35" s="10" t="str">
        <f aca="false">HYPERLINK("#'18 Build &amp; Release'!A1","18 Build &amp; Release")</f>
        <v>18 Build &amp; Release</v>
      </c>
      <c r="B35" s="22" t="s">
        <v>67</v>
      </c>
      <c r="C35" s="12" t="s">
        <v>68</v>
      </c>
      <c r="D35" s="13" t="n">
        <f aca="false">COUNTIF('18 Build &amp; Release'!$G$7:$G$13,"Agreed")+COUNTIF('18 Build &amp; Release'!$G$17:$G$24,"Agreed")+COUNTIF('18 Build &amp; Release'!$G$28:$G$39,"Agreed")+COUNTIF('18 Build &amp; Release'!$G$44:$G$55,"Agreed")</f>
        <v>17</v>
      </c>
      <c r="E35" s="13" t="n">
        <f aca="false">COUNTIF('18 Build &amp; Release'!$G$7:$G$13,"Proposed")+COUNTIF('18 Build &amp; Release'!$G$17:$G$24,"Proposed")+COUNTIF('18 Build &amp; Release'!$G$28:$G$39,"Proposed")+COUNTIF('18 Build &amp; Release'!$G$44:$G$55,"Proposed")</f>
        <v>7</v>
      </c>
      <c r="F35" s="13" t="n">
        <f aca="false">COUNTIF('18 Build &amp; Release'!$G$7:$G$13,"Draft")+COUNTIF('18 Build &amp; Release'!$G$17:$G$24,"Draft")+COUNTIF('18 Build &amp; Release'!$G$28:$G$39,"Draft")+COUNTIF('18 Build &amp; Release'!$G$44:$G$55,"Draft")</f>
        <v>0</v>
      </c>
      <c r="G35" s="13" t="n">
        <f aca="false">COUNTIF('18 Build &amp; Release'!$G$7:$G$13,"Needs detail")+COUNTIF('18 Build &amp; Release'!$G$17:$G$24,"Needs detail")+COUNTIF('18 Build &amp; Release'!$G$28:$G$39,"Needs detail")+COUNTIF('18 Build &amp; Release'!$G$44:$G$55,"Needs detail")</f>
        <v>0</v>
      </c>
      <c r="H35" s="13" t="n">
        <f aca="false">COUNTIF('18 Build &amp; Release'!$G$7:$G$13,"Not started")+COUNTIF('18 Build &amp; Release'!$G$17:$G$24,"Not started")+COUNTIF('18 Build &amp; Release'!$G$28:$G$39,"Not started")+COUNTIF('18 Build &amp; Release'!$G$44:$G$55,"Not started")</f>
        <v>9</v>
      </c>
      <c r="I35" s="13" t="n">
        <f aca="false">SUM(D35:H35)</f>
        <v>33</v>
      </c>
      <c r="J35" s="14" t="n">
        <f aca="false">IF(I35=0,0,D35/I35)</f>
        <v>0.515151515151515</v>
      </c>
      <c r="K35" s="13" t="n">
        <f aca="false">COUNTIFS('18 Build &amp; Release'!$G$7:$G$13,"Needs detail",'18 Build &amp; Release'!$E$7:$E$13,"")+COUNTIFS('18 Build &amp; Release'!$G$7:$G$13,"Not started",'18 Build &amp; Release'!$E$7:$E$13,"")+COUNTIFS('18 Build &amp; Release'!$G$17:$G$24,"Needs detail",'18 Build &amp; Release'!$E$17:$E$24,"")+COUNTIFS('18 Build &amp; Release'!$G$17:$G$24,"Not started",'18 Build &amp; Release'!$E$17:$E$24,"")+COUNTIFS('18 Build &amp; Release'!$G$28:$G$39,"Needs detail",'18 Build &amp; Release'!$E$28:$E$39,"")+COUNTIFS('18 Build &amp; Release'!$G$28:$G$39,"Not started",'18 Build &amp; Release'!$E$28:$E$39,"")+COUNTIFS('18 Build &amp; Release'!$G$44:$G$55,"Needs detail",'18 Build &amp; Release'!$E$44:$E$55,"")+COUNTIFS('18 Build &amp; Release'!$G$44:$G$55,"Not started",'18 Build &amp; Release'!$E$44:$E$55,"")</f>
        <v>8</v>
      </c>
    </row>
    <row r="36" customFormat="false" ht="15" hidden="false" customHeight="false" outlineLevel="0" collapsed="false">
      <c r="A36" s="10" t="str">
        <f aca="false">HYPERLINK("#'Source v1'!A1","Source v1")</f>
        <v>Source v1</v>
      </c>
      <c r="B36" s="23" t="s">
        <v>69</v>
      </c>
      <c r="C36" s="12" t="s">
        <v>70</v>
      </c>
      <c r="D36" s="13" t="s">
        <v>64</v>
      </c>
      <c r="E36" s="13" t="s">
        <v>64</v>
      </c>
      <c r="F36" s="13" t="s">
        <v>64</v>
      </c>
      <c r="G36" s="13" t="s">
        <v>64</v>
      </c>
      <c r="H36" s="13" t="s">
        <v>64</v>
      </c>
      <c r="I36" s="13" t="s">
        <v>64</v>
      </c>
      <c r="J36" s="14" t="s">
        <v>64</v>
      </c>
      <c r="K36" s="13" t="s">
        <v>64</v>
      </c>
    </row>
    <row r="37" customFormat="false" ht="15" hidden="false" customHeight="false" outlineLevel="0" collapsed="false">
      <c r="A37" s="24" t="s">
        <v>71</v>
      </c>
      <c r="B37" s="25"/>
      <c r="C37" s="25"/>
      <c r="D37" s="26" t="n">
        <f aca="false">SUM(D17:D36)</f>
        <v>257</v>
      </c>
      <c r="E37" s="26" t="n">
        <f aca="false">SUM(E17:E36)</f>
        <v>191</v>
      </c>
      <c r="F37" s="26" t="n">
        <f aca="false">SUM(F17:F36)</f>
        <v>22</v>
      </c>
      <c r="G37" s="26" t="n">
        <f aca="false">SUM(G17:G36)</f>
        <v>1</v>
      </c>
      <c r="H37" s="26" t="n">
        <f aca="false">SUM(H17:H36)</f>
        <v>9</v>
      </c>
      <c r="I37" s="26" t="n">
        <f aca="false">SUM(I17:I36)</f>
        <v>480</v>
      </c>
      <c r="J37" s="27" t="n">
        <f aca="false">IF(I37=0,0,D37/I37)</f>
        <v>0.535416666666667</v>
      </c>
      <c r="K37" s="26" t="n">
        <f aca="false">SUM(K17:K36)</f>
        <v>9</v>
      </c>
    </row>
    <row r="39" customFormat="false" ht="15" hidden="false" customHeight="false" outlineLevel="0" collapsed="false">
      <c r="A39" s="4" t="s">
        <v>72</v>
      </c>
      <c r="B39" s="4"/>
      <c r="C39" s="4"/>
      <c r="D39" s="4"/>
      <c r="E39" s="4"/>
      <c r="F39" s="4"/>
      <c r="G39" s="4"/>
      <c r="H39" s="4"/>
      <c r="I39" s="4"/>
      <c r="J39" s="4"/>
      <c r="K39" s="4"/>
    </row>
    <row r="40" customFormat="false" ht="15.75" hidden="false" customHeight="true" outlineLevel="0" collapsed="false">
      <c r="A40" s="28" t="s">
        <v>73</v>
      </c>
      <c r="B40" s="29" t="s">
        <v>74</v>
      </c>
      <c r="C40" s="29"/>
      <c r="D40" s="29"/>
      <c r="E40" s="29"/>
      <c r="F40" s="29"/>
      <c r="G40" s="29"/>
      <c r="H40" s="29"/>
      <c r="I40" s="29"/>
      <c r="J40" s="29"/>
      <c r="K40" s="29"/>
    </row>
    <row r="41" customFormat="false" ht="30" hidden="false" customHeight="true" outlineLevel="0" collapsed="false">
      <c r="A41" s="30" t="s">
        <v>75</v>
      </c>
      <c r="B41" s="29" t="s">
        <v>76</v>
      </c>
      <c r="C41" s="29"/>
      <c r="D41" s="29"/>
      <c r="E41" s="29"/>
      <c r="F41" s="29"/>
      <c r="G41" s="29"/>
      <c r="H41" s="29"/>
      <c r="I41" s="29"/>
      <c r="J41" s="29"/>
      <c r="K41" s="29"/>
    </row>
    <row r="42" customFormat="false" ht="30" hidden="false" customHeight="true" outlineLevel="0" collapsed="false">
      <c r="A42" s="30" t="s">
        <v>77</v>
      </c>
      <c r="B42" s="29" t="s">
        <v>78</v>
      </c>
      <c r="C42" s="29"/>
      <c r="D42" s="29"/>
      <c r="E42" s="29"/>
      <c r="F42" s="29"/>
      <c r="G42" s="29"/>
      <c r="H42" s="29"/>
      <c r="I42" s="29"/>
      <c r="J42" s="29"/>
      <c r="K42" s="29"/>
    </row>
    <row r="43" customFormat="false" ht="15.75" hidden="false" customHeight="true" outlineLevel="0" collapsed="false">
      <c r="A43" s="30" t="s">
        <v>79</v>
      </c>
      <c r="B43" s="29" t="s">
        <v>80</v>
      </c>
      <c r="C43" s="29"/>
      <c r="D43" s="29"/>
      <c r="E43" s="29"/>
      <c r="F43" s="29"/>
      <c r="G43" s="29"/>
      <c r="H43" s="29"/>
      <c r="I43" s="29"/>
      <c r="J43" s="29"/>
      <c r="K43" s="29"/>
    </row>
    <row r="44" customFormat="false" ht="15.75" hidden="false" customHeight="true" outlineLevel="0" collapsed="false">
      <c r="A44" s="30" t="s">
        <v>81</v>
      </c>
      <c r="B44" s="29" t="s">
        <v>82</v>
      </c>
      <c r="C44" s="29"/>
      <c r="D44" s="29"/>
      <c r="E44" s="29"/>
      <c r="F44" s="29"/>
      <c r="G44" s="29"/>
      <c r="H44" s="29"/>
      <c r="I44" s="29"/>
      <c r="J44" s="29"/>
      <c r="K44" s="29"/>
    </row>
    <row r="45" customFormat="false" ht="30" hidden="false" customHeight="true" outlineLevel="0" collapsed="false">
      <c r="A45" s="30" t="s">
        <v>83</v>
      </c>
      <c r="B45" s="29" t="s">
        <v>84</v>
      </c>
      <c r="C45" s="29"/>
      <c r="D45" s="29"/>
      <c r="E45" s="29"/>
      <c r="F45" s="29"/>
      <c r="G45" s="29"/>
      <c r="H45" s="29"/>
      <c r="I45" s="29"/>
      <c r="J45" s="29"/>
      <c r="K45" s="29"/>
    </row>
    <row r="46" customFormat="false" ht="30" hidden="false" customHeight="true" outlineLevel="0" collapsed="false">
      <c r="A46" s="30" t="s">
        <v>85</v>
      </c>
      <c r="B46" s="29" t="s">
        <v>86</v>
      </c>
      <c r="C46" s="29"/>
      <c r="D46" s="29"/>
      <c r="E46" s="29"/>
      <c r="F46" s="29"/>
      <c r="G46" s="29"/>
      <c r="H46" s="29"/>
      <c r="I46" s="29"/>
      <c r="J46" s="29"/>
      <c r="K46" s="29"/>
    </row>
  </sheetData>
  <mergeCells count="27">
    <mergeCell ref="A4:K4"/>
    <mergeCell ref="A5:B5"/>
    <mergeCell ref="C5:J5"/>
    <mergeCell ref="A6:B6"/>
    <mergeCell ref="C6:J6"/>
    <mergeCell ref="A7:B7"/>
    <mergeCell ref="C7:J7"/>
    <mergeCell ref="A8:B8"/>
    <mergeCell ref="C8:J8"/>
    <mergeCell ref="A9:B9"/>
    <mergeCell ref="C9:J9"/>
    <mergeCell ref="A10:B10"/>
    <mergeCell ref="C10:J10"/>
    <mergeCell ref="A11:B11"/>
    <mergeCell ref="C11:J11"/>
    <mergeCell ref="A12:B12"/>
    <mergeCell ref="C12:J12"/>
    <mergeCell ref="A14:K14"/>
    <mergeCell ref="A15:K15"/>
    <mergeCell ref="A39:K39"/>
    <mergeCell ref="B40:K40"/>
    <mergeCell ref="B41:K41"/>
    <mergeCell ref="B42:K42"/>
    <mergeCell ref="B43:K43"/>
    <mergeCell ref="B44:K44"/>
    <mergeCell ref="B45:K45"/>
    <mergeCell ref="B46:K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74"/>
    <col collapsed="false" customWidth="true" hidden="false" outlineLevel="0" max="4" min="4" style="0" width="12"/>
    <col collapsed="false" customWidth="true" hidden="false" outlineLevel="0" max="5" min="5" style="0" width="14"/>
    <col collapsed="false" customWidth="true" hidden="false" outlineLevel="0" max="6" min="6" style="0" width="13"/>
  </cols>
  <sheetData>
    <row r="1" customFormat="false" ht="17.35" hidden="false" customHeight="false" outlineLevel="0" collapsed="false">
      <c r="A1" s="1" t="s">
        <v>87</v>
      </c>
    </row>
    <row r="2" customFormat="false" ht="15" hidden="false" customHeight="false" outlineLevel="0" collapsed="false">
      <c r="A2" s="2" t="s">
        <v>88</v>
      </c>
    </row>
    <row r="3" customFormat="false" ht="15" hidden="false" customHeight="false" outlineLevel="0" collapsed="false">
      <c r="A3" s="3" t="str">
        <f aca="false">HYPERLINK("#'0 Index'!A1","↩ Index")</f>
        <v>↩ Index</v>
      </c>
    </row>
    <row r="5" customFormat="false" ht="15" hidden="false" customHeight="false" outlineLevel="0" collapsed="false">
      <c r="A5" s="31" t="s">
        <v>40</v>
      </c>
      <c r="B5" s="31"/>
      <c r="C5" s="31"/>
      <c r="D5" s="31"/>
      <c r="E5" s="31"/>
      <c r="F5" s="31"/>
    </row>
    <row r="6" customFormat="false" ht="15" hidden="false" customHeight="false" outlineLevel="0" collapsed="false">
      <c r="A6" s="32" t="s">
        <v>89</v>
      </c>
      <c r="B6" s="32" t="s">
        <v>90</v>
      </c>
      <c r="C6" s="32" t="s">
        <v>91</v>
      </c>
      <c r="D6" s="32" t="s">
        <v>79</v>
      </c>
      <c r="E6" s="32" t="s">
        <v>77</v>
      </c>
      <c r="F6" s="32" t="s">
        <v>75</v>
      </c>
    </row>
    <row r="7" customFormat="false" ht="23.85" hidden="false" customHeight="false" outlineLevel="0" collapsed="false">
      <c r="A7" s="6" t="s">
        <v>92</v>
      </c>
      <c r="B7" s="6" t="s">
        <v>93</v>
      </c>
      <c r="C7" s="6" t="s">
        <v>94</v>
      </c>
      <c r="D7" s="6"/>
      <c r="E7" s="6" t="s">
        <v>95</v>
      </c>
      <c r="F7" s="6" t="s">
        <v>32</v>
      </c>
    </row>
    <row r="8" customFormat="false" ht="23.85" hidden="false" customHeight="false" outlineLevel="0" collapsed="false">
      <c r="A8" s="6" t="s">
        <v>96</v>
      </c>
      <c r="B8" s="6" t="s">
        <v>97</v>
      </c>
      <c r="C8" s="6" t="s">
        <v>98</v>
      </c>
      <c r="D8" s="6" t="s">
        <v>99</v>
      </c>
      <c r="E8" s="6" t="s">
        <v>100</v>
      </c>
      <c r="F8" s="6" t="s">
        <v>32</v>
      </c>
    </row>
    <row r="9" customFormat="false" ht="35.05" hidden="false" customHeight="false" outlineLevel="0" collapsed="false">
      <c r="A9" s="6" t="s">
        <v>101</v>
      </c>
      <c r="B9" s="6" t="s">
        <v>102</v>
      </c>
      <c r="C9" s="6" t="s">
        <v>103</v>
      </c>
      <c r="D9" s="6" t="s">
        <v>99</v>
      </c>
      <c r="E9" s="6" t="s">
        <v>104</v>
      </c>
      <c r="F9" s="6" t="s">
        <v>33</v>
      </c>
    </row>
    <row r="10" customFormat="false" ht="15" hidden="false" customHeight="false" outlineLevel="0" collapsed="false">
      <c r="A10" s="6" t="s">
        <v>105</v>
      </c>
      <c r="B10" s="6" t="s">
        <v>106</v>
      </c>
      <c r="C10" s="6" t="s">
        <v>107</v>
      </c>
      <c r="D10" s="6"/>
      <c r="E10" s="6" t="s">
        <v>108</v>
      </c>
      <c r="F10" s="6" t="s">
        <v>34</v>
      </c>
    </row>
    <row r="11" customFormat="false" ht="23.85" hidden="false" customHeight="false" outlineLevel="0" collapsed="false">
      <c r="A11" s="6" t="s">
        <v>109</v>
      </c>
      <c r="B11" s="6" t="s">
        <v>110</v>
      </c>
      <c r="C11" s="6" t="s">
        <v>111</v>
      </c>
      <c r="D11" s="6"/>
      <c r="E11" s="6" t="s">
        <v>112</v>
      </c>
      <c r="F11" s="6" t="s">
        <v>34</v>
      </c>
    </row>
    <row r="12" customFormat="false" ht="23.85" hidden="false" customHeight="false" outlineLevel="0" collapsed="false">
      <c r="A12" s="6" t="s">
        <v>113</v>
      </c>
      <c r="B12" s="6" t="s">
        <v>114</v>
      </c>
      <c r="C12" s="6" t="s">
        <v>115</v>
      </c>
      <c r="D12" s="6" t="s">
        <v>116</v>
      </c>
      <c r="E12" s="6" t="s">
        <v>117</v>
      </c>
      <c r="F12" s="6" t="s">
        <v>34</v>
      </c>
    </row>
    <row r="13" customFormat="false" ht="15" hidden="false" customHeight="false" outlineLevel="0" collapsed="false">
      <c r="A13" s="6" t="s">
        <v>118</v>
      </c>
      <c r="B13" s="6" t="s">
        <v>119</v>
      </c>
      <c r="C13" s="6" t="s">
        <v>120</v>
      </c>
      <c r="D13" s="6"/>
      <c r="E13" s="6" t="s">
        <v>121</v>
      </c>
      <c r="F13" s="6" t="s">
        <v>34</v>
      </c>
    </row>
    <row r="14" customFormat="false" ht="57.45" hidden="false" customHeight="false" outlineLevel="0" collapsed="false">
      <c r="A14" s="6" t="s">
        <v>122</v>
      </c>
      <c r="B14" s="6" t="s">
        <v>123</v>
      </c>
      <c r="C14" s="6" t="s">
        <v>124</v>
      </c>
      <c r="D14" s="6" t="s">
        <v>125</v>
      </c>
      <c r="E14" s="6" t="s">
        <v>126</v>
      </c>
      <c r="F14" s="6" t="s">
        <v>32</v>
      </c>
    </row>
    <row r="15" customFormat="false" ht="23.85" hidden="false" customHeight="false" outlineLevel="0" collapsed="false">
      <c r="A15" s="6" t="s">
        <v>127</v>
      </c>
      <c r="B15" s="6" t="s">
        <v>128</v>
      </c>
      <c r="C15" s="6" t="s">
        <v>129</v>
      </c>
      <c r="D15" s="6" t="s">
        <v>130</v>
      </c>
      <c r="E15" s="6" t="s">
        <v>131</v>
      </c>
      <c r="F15" s="6" t="s">
        <v>32</v>
      </c>
    </row>
    <row r="16" customFormat="false" ht="23.85" hidden="false" customHeight="false" outlineLevel="0" collapsed="false">
      <c r="A16" s="6" t="s">
        <v>132</v>
      </c>
      <c r="B16" s="6" t="s">
        <v>133</v>
      </c>
      <c r="C16" s="6" t="s">
        <v>134</v>
      </c>
      <c r="D16" s="6" t="s">
        <v>135</v>
      </c>
      <c r="E16" s="6" t="s">
        <v>136</v>
      </c>
      <c r="F16" s="6" t="s">
        <v>32</v>
      </c>
    </row>
    <row r="17" customFormat="false" ht="23.85" hidden="false" customHeight="false" outlineLevel="0" collapsed="false">
      <c r="A17" s="6" t="s">
        <v>137</v>
      </c>
      <c r="B17" s="6" t="s">
        <v>138</v>
      </c>
      <c r="C17" s="6" t="s">
        <v>139</v>
      </c>
      <c r="D17" s="6" t="s">
        <v>140</v>
      </c>
      <c r="E17" s="6" t="s">
        <v>141</v>
      </c>
      <c r="F17" s="6" t="s">
        <v>32</v>
      </c>
    </row>
    <row r="18" customFormat="false" ht="15" hidden="false" customHeight="false" outlineLevel="0" collapsed="false">
      <c r="A18" s="6" t="s">
        <v>142</v>
      </c>
      <c r="B18" s="6" t="s">
        <v>143</v>
      </c>
      <c r="C18" s="6" t="s">
        <v>144</v>
      </c>
      <c r="D18" s="6" t="s">
        <v>145</v>
      </c>
      <c r="E18" s="6" t="s">
        <v>146</v>
      </c>
      <c r="F18" s="6" t="s">
        <v>32</v>
      </c>
    </row>
    <row r="19" customFormat="false" ht="23.85" hidden="false" customHeight="false" outlineLevel="0" collapsed="false">
      <c r="A19" s="6" t="s">
        <v>147</v>
      </c>
      <c r="B19" s="6" t="s">
        <v>148</v>
      </c>
      <c r="C19" s="6" t="s">
        <v>149</v>
      </c>
      <c r="D19" s="6" t="s">
        <v>130</v>
      </c>
      <c r="E19" s="6" t="s">
        <v>150</v>
      </c>
      <c r="F19" s="6" t="s">
        <v>33</v>
      </c>
    </row>
    <row r="20" customFormat="false" ht="35.05" hidden="false" customHeight="false" outlineLevel="0" collapsed="false">
      <c r="A20" s="6" t="s">
        <v>151</v>
      </c>
      <c r="B20" s="6" t="s">
        <v>152</v>
      </c>
      <c r="C20" s="6" t="s">
        <v>153</v>
      </c>
      <c r="D20" s="6" t="s">
        <v>154</v>
      </c>
      <c r="E20" s="6" t="s">
        <v>155</v>
      </c>
      <c r="F20" s="6" t="s">
        <v>32</v>
      </c>
    </row>
    <row r="21" customFormat="false" ht="23.85" hidden="false" customHeight="false" outlineLevel="0" collapsed="false">
      <c r="A21" s="6" t="s">
        <v>156</v>
      </c>
      <c r="B21" s="6" t="s">
        <v>157</v>
      </c>
      <c r="C21" s="6" t="s">
        <v>158</v>
      </c>
      <c r="D21" s="6" t="s">
        <v>145</v>
      </c>
      <c r="E21" s="6" t="s">
        <v>159</v>
      </c>
      <c r="F21" s="6" t="s">
        <v>32</v>
      </c>
    </row>
    <row r="22" customFormat="false" ht="23.85" hidden="false" customHeight="false" outlineLevel="0" collapsed="false">
      <c r="A22" s="6" t="s">
        <v>160</v>
      </c>
      <c r="B22" s="6" t="s">
        <v>161</v>
      </c>
      <c r="C22" s="6" t="s">
        <v>162</v>
      </c>
      <c r="D22" s="6" t="s">
        <v>163</v>
      </c>
      <c r="E22" s="6" t="s">
        <v>164</v>
      </c>
      <c r="F22" s="6" t="s">
        <v>32</v>
      </c>
    </row>
    <row r="23" customFormat="false" ht="15" hidden="false" customHeight="false" outlineLevel="0" collapsed="false">
      <c r="A23" s="6"/>
      <c r="B23" s="6"/>
      <c r="C23" s="6"/>
      <c r="D23" s="6"/>
      <c r="E23" s="6"/>
      <c r="F23" s="6"/>
    </row>
    <row r="24" customFormat="false" ht="15" hidden="false" customHeight="false" outlineLevel="0" collapsed="false">
      <c r="A24" s="6"/>
      <c r="B24" s="6"/>
      <c r="C24" s="6"/>
      <c r="D24" s="6"/>
      <c r="E24" s="6"/>
      <c r="F24" s="6"/>
    </row>
    <row r="26" customFormat="false" ht="15" hidden="false" customHeight="false" outlineLevel="0" collapsed="false">
      <c r="A26" s="31" t="s">
        <v>165</v>
      </c>
      <c r="B26" s="31"/>
      <c r="C26" s="31"/>
      <c r="D26" s="31"/>
      <c r="E26" s="31"/>
      <c r="F26" s="31"/>
    </row>
    <row r="27" customFormat="false" ht="15" hidden="false" customHeight="true" outlineLevel="0" collapsed="false">
      <c r="A27" s="8" t="s">
        <v>166</v>
      </c>
      <c r="B27" s="8"/>
      <c r="C27" s="8"/>
      <c r="D27" s="8"/>
      <c r="E27" s="8"/>
      <c r="F27" s="8"/>
    </row>
    <row r="28" customFormat="false" ht="15" hidden="false" customHeight="false" outlineLevel="0" collapsed="false">
      <c r="A28" s="32" t="s">
        <v>89</v>
      </c>
      <c r="B28" s="32" t="s">
        <v>167</v>
      </c>
      <c r="C28" s="32" t="s">
        <v>168</v>
      </c>
      <c r="D28" s="32" t="s">
        <v>79</v>
      </c>
      <c r="E28" s="32" t="s">
        <v>77</v>
      </c>
      <c r="F28" s="32" t="s">
        <v>75</v>
      </c>
    </row>
    <row r="29" customFormat="false" ht="15" hidden="false" customHeight="false" outlineLevel="0" collapsed="false">
      <c r="A29" s="6" t="s">
        <v>169</v>
      </c>
      <c r="B29" s="6" t="s">
        <v>170</v>
      </c>
      <c r="C29" s="6" t="s">
        <v>171</v>
      </c>
      <c r="D29" s="6"/>
      <c r="E29" s="6" t="s">
        <v>100</v>
      </c>
      <c r="F29" s="6" t="s">
        <v>32</v>
      </c>
    </row>
    <row r="30" customFormat="false" ht="15" hidden="false" customHeight="false" outlineLevel="0" collapsed="false">
      <c r="A30" s="6" t="s">
        <v>172</v>
      </c>
      <c r="B30" s="6" t="s">
        <v>173</v>
      </c>
      <c r="C30" s="6" t="s">
        <v>174</v>
      </c>
      <c r="D30" s="6" t="s">
        <v>175</v>
      </c>
      <c r="E30" s="6" t="s">
        <v>176</v>
      </c>
      <c r="F30" s="6" t="s">
        <v>32</v>
      </c>
    </row>
    <row r="31" customFormat="false" ht="15" hidden="false" customHeight="false" outlineLevel="0" collapsed="false">
      <c r="A31" s="6" t="s">
        <v>177</v>
      </c>
      <c r="B31" s="6" t="s">
        <v>178</v>
      </c>
      <c r="C31" s="6" t="s">
        <v>179</v>
      </c>
      <c r="D31" s="6"/>
      <c r="E31" s="6" t="s">
        <v>180</v>
      </c>
      <c r="F31" s="6" t="s">
        <v>32</v>
      </c>
    </row>
    <row r="32" customFormat="false" ht="15" hidden="false" customHeight="false" outlineLevel="0" collapsed="false">
      <c r="A32" s="6" t="s">
        <v>181</v>
      </c>
      <c r="B32" s="6" t="s">
        <v>182</v>
      </c>
      <c r="C32" s="6" t="s">
        <v>183</v>
      </c>
      <c r="D32" s="6" t="s">
        <v>116</v>
      </c>
      <c r="E32" s="6" t="s">
        <v>104</v>
      </c>
      <c r="F32" s="6" t="s">
        <v>33</v>
      </c>
    </row>
    <row r="33" customFormat="false" ht="15" hidden="false" customHeight="false" outlineLevel="0" collapsed="false">
      <c r="A33" s="6" t="s">
        <v>184</v>
      </c>
      <c r="B33" s="6" t="s">
        <v>185</v>
      </c>
      <c r="C33" s="6" t="s">
        <v>186</v>
      </c>
      <c r="D33" s="6"/>
      <c r="E33" s="6" t="s">
        <v>187</v>
      </c>
      <c r="F33" s="6" t="s">
        <v>32</v>
      </c>
    </row>
    <row r="34" customFormat="false" ht="23.85" hidden="false" customHeight="false" outlineLevel="0" collapsed="false">
      <c r="A34" s="6" t="s">
        <v>188</v>
      </c>
      <c r="B34" s="6" t="s">
        <v>189</v>
      </c>
      <c r="C34" s="6" t="s">
        <v>190</v>
      </c>
      <c r="D34" s="6" t="s">
        <v>191</v>
      </c>
      <c r="E34" s="6" t="s">
        <v>192</v>
      </c>
      <c r="F34" s="6" t="s">
        <v>33</v>
      </c>
    </row>
    <row r="35" customFormat="false" ht="15" hidden="false" customHeight="false" outlineLevel="0" collapsed="false">
      <c r="A35" s="6" t="s">
        <v>193</v>
      </c>
      <c r="B35" s="6" t="s">
        <v>194</v>
      </c>
      <c r="C35" s="6" t="s">
        <v>195</v>
      </c>
      <c r="D35" s="6"/>
      <c r="E35" s="6" t="s">
        <v>196</v>
      </c>
      <c r="F35" s="6" t="s">
        <v>32</v>
      </c>
    </row>
    <row r="36" customFormat="false" ht="15" hidden="false" customHeight="false" outlineLevel="0" collapsed="false">
      <c r="A36" s="6" t="s">
        <v>197</v>
      </c>
      <c r="B36" s="6" t="s">
        <v>198</v>
      </c>
      <c r="C36" s="6" t="s">
        <v>199</v>
      </c>
      <c r="D36" s="6" t="s">
        <v>200</v>
      </c>
      <c r="E36" s="6" t="s">
        <v>201</v>
      </c>
      <c r="F36" s="6" t="s">
        <v>32</v>
      </c>
    </row>
    <row r="37" customFormat="false" ht="15" hidden="false" customHeight="false" outlineLevel="0" collapsed="false">
      <c r="A37" s="6"/>
      <c r="B37" s="6"/>
      <c r="C37" s="6"/>
      <c r="D37" s="6"/>
      <c r="E37" s="6"/>
      <c r="F37" s="6"/>
    </row>
  </sheetData>
  <autoFilter ref="A6:F24"/>
  <mergeCells count="3">
    <mergeCell ref="A5:F5"/>
    <mergeCell ref="A26:F26"/>
    <mergeCell ref="A27:F27"/>
  </mergeCells>
  <conditionalFormatting sqref="F7:F24">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F29:F37">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F7:F24 F29:F37"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48"/>
    <col collapsed="false" customWidth="true" hidden="false" outlineLevel="0" max="4" min="4" style="0" width="30"/>
    <col collapsed="false" customWidth="true" hidden="false" outlineLevel="0" max="5" min="5" style="0" width="12"/>
    <col collapsed="false" customWidth="true" hidden="false" outlineLevel="0" max="6" min="6" style="0" width="14"/>
    <col collapsed="false" customWidth="true" hidden="false" outlineLevel="0" max="7" min="7" style="0" width="13"/>
  </cols>
  <sheetData>
    <row r="1" customFormat="false" ht="17.35" hidden="false" customHeight="false" outlineLevel="0" collapsed="false">
      <c r="A1" s="1" t="s">
        <v>202</v>
      </c>
    </row>
    <row r="2" customFormat="false" ht="15" hidden="false" customHeight="false" outlineLevel="0" collapsed="false">
      <c r="A2" s="2" t="s">
        <v>203</v>
      </c>
    </row>
    <row r="3" customFormat="false" ht="15" hidden="false" customHeight="false" outlineLevel="0" collapsed="false">
      <c r="A3" s="3" t="str">
        <f aca="false">HYPERLINK("#'0 Index'!A1","↩ Index")</f>
        <v>↩ Index</v>
      </c>
    </row>
    <row r="5" customFormat="false" ht="15" hidden="false" customHeight="false" outlineLevel="0" collapsed="false">
      <c r="A5" s="31" t="s">
        <v>43</v>
      </c>
      <c r="B5" s="31"/>
      <c r="C5" s="31"/>
      <c r="D5" s="31"/>
      <c r="E5" s="31"/>
      <c r="F5" s="31"/>
      <c r="G5" s="31"/>
    </row>
    <row r="6" customFormat="false" ht="15" hidden="false" customHeight="false" outlineLevel="0" collapsed="false">
      <c r="A6" s="32" t="s">
        <v>89</v>
      </c>
      <c r="B6" s="32" t="s">
        <v>204</v>
      </c>
      <c r="C6" s="32" t="s">
        <v>205</v>
      </c>
      <c r="D6" s="32" t="s">
        <v>206</v>
      </c>
      <c r="E6" s="32" t="s">
        <v>79</v>
      </c>
      <c r="F6" s="32" t="s">
        <v>77</v>
      </c>
      <c r="G6" s="32" t="s">
        <v>75</v>
      </c>
    </row>
    <row r="7" customFormat="false" ht="23.85" hidden="false" customHeight="false" outlineLevel="0" collapsed="false">
      <c r="A7" s="6" t="s">
        <v>207</v>
      </c>
      <c r="B7" s="6" t="s">
        <v>208</v>
      </c>
      <c r="C7" s="6" t="s">
        <v>209</v>
      </c>
      <c r="D7" s="6" t="s">
        <v>210</v>
      </c>
      <c r="E7" s="6"/>
      <c r="F7" s="6" t="s">
        <v>211</v>
      </c>
      <c r="G7" s="6" t="s">
        <v>32</v>
      </c>
    </row>
    <row r="8" customFormat="false" ht="23.85" hidden="false" customHeight="false" outlineLevel="0" collapsed="false">
      <c r="A8" s="6" t="s">
        <v>212</v>
      </c>
      <c r="B8" s="6" t="s">
        <v>213</v>
      </c>
      <c r="C8" s="6" t="s">
        <v>214</v>
      </c>
      <c r="D8" s="6" t="s">
        <v>215</v>
      </c>
      <c r="E8" s="6" t="s">
        <v>216</v>
      </c>
      <c r="F8" s="6" t="s">
        <v>217</v>
      </c>
      <c r="G8" s="6" t="s">
        <v>32</v>
      </c>
    </row>
    <row r="9" customFormat="false" ht="15" hidden="false" customHeight="false" outlineLevel="0" collapsed="false">
      <c r="A9" s="6" t="s">
        <v>218</v>
      </c>
      <c r="B9" s="6" t="s">
        <v>219</v>
      </c>
      <c r="C9" s="6" t="s">
        <v>220</v>
      </c>
      <c r="D9" s="6" t="s">
        <v>221</v>
      </c>
      <c r="E9" s="6"/>
      <c r="F9" s="6" t="s">
        <v>222</v>
      </c>
      <c r="G9" s="6" t="s">
        <v>32</v>
      </c>
    </row>
    <row r="10" customFormat="false" ht="15" hidden="false" customHeight="false" outlineLevel="0" collapsed="false">
      <c r="A10" s="6" t="s">
        <v>223</v>
      </c>
      <c r="B10" s="6" t="s">
        <v>75</v>
      </c>
      <c r="C10" s="6" t="s">
        <v>224</v>
      </c>
      <c r="D10" s="6" t="s">
        <v>225</v>
      </c>
      <c r="E10" s="6" t="s">
        <v>226</v>
      </c>
      <c r="F10" s="6" t="s">
        <v>227</v>
      </c>
      <c r="G10" s="6" t="s">
        <v>32</v>
      </c>
    </row>
    <row r="11" customFormat="false" ht="23.85" hidden="false" customHeight="false" outlineLevel="0" collapsed="false">
      <c r="A11" s="6" t="s">
        <v>228</v>
      </c>
      <c r="B11" s="6" t="s">
        <v>229</v>
      </c>
      <c r="C11" s="6" t="s">
        <v>230</v>
      </c>
      <c r="D11" s="6" t="s">
        <v>64</v>
      </c>
      <c r="E11" s="6" t="s">
        <v>231</v>
      </c>
      <c r="F11" s="6" t="s">
        <v>232</v>
      </c>
      <c r="G11" s="6" t="s">
        <v>32</v>
      </c>
    </row>
    <row r="12" customFormat="false" ht="35.05" hidden="false" customHeight="false" outlineLevel="0" collapsed="false">
      <c r="A12" s="6" t="s">
        <v>233</v>
      </c>
      <c r="B12" s="6" t="s">
        <v>234</v>
      </c>
      <c r="C12" s="6" t="s">
        <v>235</v>
      </c>
      <c r="D12" s="6" t="s">
        <v>236</v>
      </c>
      <c r="E12" s="6" t="s">
        <v>237</v>
      </c>
      <c r="F12" s="6" t="s">
        <v>238</v>
      </c>
      <c r="G12" s="6" t="s">
        <v>32</v>
      </c>
    </row>
    <row r="14" customFormat="false" ht="15" hidden="false" customHeight="false" outlineLevel="0" collapsed="false">
      <c r="A14" s="31" t="s">
        <v>239</v>
      </c>
      <c r="B14" s="31"/>
      <c r="C14" s="31"/>
      <c r="D14" s="31"/>
      <c r="E14" s="31"/>
      <c r="F14" s="31"/>
      <c r="G14" s="31"/>
    </row>
    <row r="15" customFormat="false" ht="15" hidden="false" customHeight="false" outlineLevel="0" collapsed="false">
      <c r="A15" s="32" t="s">
        <v>89</v>
      </c>
      <c r="B15" s="32" t="s">
        <v>90</v>
      </c>
      <c r="C15" s="32" t="s">
        <v>91</v>
      </c>
      <c r="D15" s="32" t="s">
        <v>240</v>
      </c>
      <c r="E15" s="32" t="s">
        <v>79</v>
      </c>
      <c r="F15" s="32" t="s">
        <v>77</v>
      </c>
      <c r="G15" s="32" t="s">
        <v>75</v>
      </c>
    </row>
    <row r="16" customFormat="false" ht="15" hidden="false" customHeight="false" outlineLevel="0" collapsed="false">
      <c r="A16" s="6" t="s">
        <v>241</v>
      </c>
      <c r="B16" s="6" t="s">
        <v>242</v>
      </c>
      <c r="C16" s="6" t="s">
        <v>243</v>
      </c>
      <c r="D16" s="6"/>
      <c r="E16" s="6"/>
      <c r="F16" s="6" t="s">
        <v>244</v>
      </c>
      <c r="G16" s="6" t="s">
        <v>32</v>
      </c>
    </row>
    <row r="17" customFormat="false" ht="23.85" hidden="false" customHeight="false" outlineLevel="0" collapsed="false">
      <c r="A17" s="6" t="s">
        <v>245</v>
      </c>
      <c r="B17" s="6" t="s">
        <v>246</v>
      </c>
      <c r="C17" s="6" t="s">
        <v>247</v>
      </c>
      <c r="D17" s="6" t="s">
        <v>248</v>
      </c>
      <c r="E17" s="6"/>
      <c r="F17" s="6" t="s">
        <v>2</v>
      </c>
      <c r="G17" s="6" t="s">
        <v>32</v>
      </c>
    </row>
    <row r="18" customFormat="false" ht="35.05" hidden="false" customHeight="false" outlineLevel="0" collapsed="false">
      <c r="A18" s="6" t="s">
        <v>249</v>
      </c>
      <c r="B18" s="6" t="s">
        <v>250</v>
      </c>
      <c r="C18" s="6" t="s">
        <v>251</v>
      </c>
      <c r="D18" s="6" t="s">
        <v>252</v>
      </c>
      <c r="E18" s="6" t="s">
        <v>231</v>
      </c>
      <c r="F18" s="6" t="s">
        <v>232</v>
      </c>
      <c r="G18" s="6" t="s">
        <v>32</v>
      </c>
    </row>
    <row r="19" customFormat="false" ht="23.85" hidden="false" customHeight="false" outlineLevel="0" collapsed="false">
      <c r="A19" s="6" t="s">
        <v>253</v>
      </c>
      <c r="B19" s="6" t="s">
        <v>254</v>
      </c>
      <c r="C19" s="6" t="s">
        <v>255</v>
      </c>
      <c r="D19" s="6"/>
      <c r="E19" s="6" t="s">
        <v>231</v>
      </c>
      <c r="F19" s="6" t="s">
        <v>232</v>
      </c>
      <c r="G19" s="6" t="s">
        <v>32</v>
      </c>
    </row>
    <row r="20" customFormat="false" ht="23.85" hidden="false" customHeight="false" outlineLevel="0" collapsed="false">
      <c r="A20" s="6" t="s">
        <v>256</v>
      </c>
      <c r="B20" s="6" t="s">
        <v>257</v>
      </c>
      <c r="C20" s="6" t="s">
        <v>258</v>
      </c>
      <c r="D20" s="6"/>
      <c r="E20" s="6" t="s">
        <v>200</v>
      </c>
      <c r="F20" s="6" t="s">
        <v>259</v>
      </c>
      <c r="G20" s="6" t="s">
        <v>32</v>
      </c>
    </row>
    <row r="21" customFormat="false" ht="23.85" hidden="false" customHeight="false" outlineLevel="0" collapsed="false">
      <c r="A21" s="6" t="s">
        <v>260</v>
      </c>
      <c r="B21" s="6" t="s">
        <v>261</v>
      </c>
      <c r="C21" s="6" t="s">
        <v>262</v>
      </c>
      <c r="D21" s="6" t="s">
        <v>263</v>
      </c>
      <c r="E21" s="6" t="s">
        <v>237</v>
      </c>
      <c r="F21" s="6" t="s">
        <v>238</v>
      </c>
      <c r="G21" s="6" t="s">
        <v>32</v>
      </c>
    </row>
    <row r="22" customFormat="false" ht="23.85" hidden="false" customHeight="false" outlineLevel="0" collapsed="false">
      <c r="A22" s="6" t="s">
        <v>264</v>
      </c>
      <c r="B22" s="6" t="s">
        <v>265</v>
      </c>
      <c r="C22" s="6" t="s">
        <v>266</v>
      </c>
      <c r="D22" s="6" t="s">
        <v>267</v>
      </c>
      <c r="E22" s="6" t="s">
        <v>200</v>
      </c>
      <c r="F22" s="6" t="s">
        <v>104</v>
      </c>
      <c r="G22" s="6" t="s">
        <v>33</v>
      </c>
    </row>
    <row r="23" customFormat="false" ht="15" hidden="false" customHeight="false" outlineLevel="0" collapsed="false">
      <c r="A23" s="6"/>
      <c r="B23" s="6"/>
      <c r="C23" s="6"/>
      <c r="D23" s="6"/>
      <c r="E23" s="6"/>
      <c r="F23" s="6"/>
      <c r="G23" s="6"/>
    </row>
    <row r="25" customFormat="false" ht="15" hidden="false" customHeight="false" outlineLevel="0" collapsed="false">
      <c r="A25" s="31" t="s">
        <v>268</v>
      </c>
      <c r="B25" s="31"/>
      <c r="C25" s="31"/>
      <c r="D25" s="31"/>
      <c r="E25" s="31"/>
      <c r="F25" s="31"/>
      <c r="G25" s="31"/>
    </row>
    <row r="26" customFormat="false" ht="15" hidden="false" customHeight="true" outlineLevel="0" collapsed="false">
      <c r="A26" s="8" t="s">
        <v>269</v>
      </c>
      <c r="B26" s="8"/>
      <c r="C26" s="8"/>
      <c r="D26" s="8"/>
      <c r="E26" s="8"/>
      <c r="F26" s="8"/>
      <c r="G26" s="8"/>
    </row>
    <row r="27" customFormat="false" ht="15" hidden="false" customHeight="false" outlineLevel="0" collapsed="false">
      <c r="A27" s="32" t="s">
        <v>89</v>
      </c>
      <c r="B27" s="32" t="s">
        <v>270</v>
      </c>
      <c r="C27" s="32" t="s">
        <v>271</v>
      </c>
      <c r="D27" s="32" t="s">
        <v>272</v>
      </c>
      <c r="E27" s="32" t="s">
        <v>79</v>
      </c>
      <c r="F27" s="32" t="s">
        <v>77</v>
      </c>
      <c r="G27" s="32" t="s">
        <v>75</v>
      </c>
    </row>
    <row r="28" customFormat="false" ht="15" hidden="false" customHeight="false" outlineLevel="0" collapsed="false">
      <c r="A28" s="6" t="s">
        <v>273</v>
      </c>
      <c r="B28" s="6" t="s">
        <v>274</v>
      </c>
      <c r="C28" s="6" t="s">
        <v>275</v>
      </c>
      <c r="D28" s="6" t="s">
        <v>276</v>
      </c>
      <c r="E28" s="6"/>
      <c r="F28" s="6" t="s">
        <v>104</v>
      </c>
      <c r="G28" s="6" t="s">
        <v>33</v>
      </c>
    </row>
    <row r="29" customFormat="false" ht="15" hidden="false" customHeight="false" outlineLevel="0" collapsed="false">
      <c r="A29" s="6" t="s">
        <v>277</v>
      </c>
      <c r="B29" s="6" t="s">
        <v>278</v>
      </c>
      <c r="C29" s="6" t="s">
        <v>275</v>
      </c>
      <c r="D29" s="6" t="s">
        <v>279</v>
      </c>
      <c r="E29" s="6"/>
      <c r="F29" s="6" t="s">
        <v>104</v>
      </c>
      <c r="G29" s="6" t="s">
        <v>33</v>
      </c>
    </row>
    <row r="30" customFormat="false" ht="23.85" hidden="false" customHeight="false" outlineLevel="0" collapsed="false">
      <c r="A30" s="6" t="s">
        <v>280</v>
      </c>
      <c r="B30" s="6" t="s">
        <v>281</v>
      </c>
      <c r="C30" s="6" t="s">
        <v>282</v>
      </c>
      <c r="D30" s="6" t="s">
        <v>283</v>
      </c>
      <c r="E30" s="6" t="s">
        <v>200</v>
      </c>
      <c r="F30" s="6" t="s">
        <v>284</v>
      </c>
      <c r="G30" s="6" t="s">
        <v>33</v>
      </c>
    </row>
    <row r="31" customFormat="false" ht="23.85" hidden="false" customHeight="false" outlineLevel="0" collapsed="false">
      <c r="A31" s="6" t="s">
        <v>285</v>
      </c>
      <c r="B31" s="6" t="s">
        <v>286</v>
      </c>
      <c r="C31" s="6" t="s">
        <v>287</v>
      </c>
      <c r="D31" s="6" t="s">
        <v>288</v>
      </c>
      <c r="E31" s="6"/>
      <c r="F31" s="6" t="s">
        <v>104</v>
      </c>
      <c r="G31" s="6" t="s">
        <v>33</v>
      </c>
    </row>
    <row r="32" customFormat="false" ht="23.85" hidden="false" customHeight="false" outlineLevel="0" collapsed="false">
      <c r="A32" s="6" t="s">
        <v>289</v>
      </c>
      <c r="B32" s="6" t="s">
        <v>290</v>
      </c>
      <c r="C32" s="6" t="s">
        <v>291</v>
      </c>
      <c r="D32" s="6" t="s">
        <v>292</v>
      </c>
      <c r="E32" s="6"/>
      <c r="F32" s="6" t="s">
        <v>104</v>
      </c>
      <c r="G32" s="6" t="s">
        <v>33</v>
      </c>
    </row>
    <row r="33" customFormat="false" ht="15" hidden="false" customHeight="false" outlineLevel="0" collapsed="false">
      <c r="A33" s="6" t="s">
        <v>293</v>
      </c>
      <c r="B33" s="6" t="s">
        <v>294</v>
      </c>
      <c r="C33" s="6" t="s">
        <v>295</v>
      </c>
      <c r="D33" s="6" t="s">
        <v>296</v>
      </c>
      <c r="E33" s="6" t="s">
        <v>297</v>
      </c>
      <c r="F33" s="6" t="s">
        <v>298</v>
      </c>
      <c r="G33" s="6" t="s">
        <v>33</v>
      </c>
    </row>
    <row r="34" customFormat="false" ht="15" hidden="false" customHeight="false" outlineLevel="0" collapsed="false">
      <c r="A34" s="6" t="s">
        <v>299</v>
      </c>
      <c r="B34" s="6" t="s">
        <v>300</v>
      </c>
      <c r="C34" s="6" t="s">
        <v>301</v>
      </c>
      <c r="D34" s="6" t="s">
        <v>302</v>
      </c>
      <c r="E34" s="6"/>
      <c r="F34" s="6" t="s">
        <v>104</v>
      </c>
      <c r="G34" s="6" t="s">
        <v>33</v>
      </c>
    </row>
    <row r="35" customFormat="false" ht="15" hidden="false" customHeight="false" outlineLevel="0" collapsed="false">
      <c r="A35" s="6" t="s">
        <v>303</v>
      </c>
      <c r="B35" s="6" t="s">
        <v>304</v>
      </c>
      <c r="C35" s="6" t="s">
        <v>305</v>
      </c>
      <c r="D35" s="6" t="s">
        <v>306</v>
      </c>
      <c r="E35" s="6" t="s">
        <v>237</v>
      </c>
      <c r="F35" s="6" t="s">
        <v>238</v>
      </c>
      <c r="G35" s="6" t="s">
        <v>33</v>
      </c>
    </row>
    <row r="36" customFormat="false" ht="15" hidden="false" customHeight="false" outlineLevel="0" collapsed="false">
      <c r="A36" s="6" t="s">
        <v>307</v>
      </c>
      <c r="B36" s="6" t="s">
        <v>308</v>
      </c>
      <c r="C36" s="6" t="s">
        <v>309</v>
      </c>
      <c r="D36" s="6" t="s">
        <v>310</v>
      </c>
      <c r="E36" s="6" t="s">
        <v>311</v>
      </c>
      <c r="F36" s="6" t="s">
        <v>104</v>
      </c>
      <c r="G36" s="6" t="s">
        <v>33</v>
      </c>
    </row>
    <row r="37" customFormat="false" ht="15" hidden="false" customHeight="false" outlineLevel="0" collapsed="false">
      <c r="A37" s="6"/>
      <c r="B37" s="6"/>
      <c r="C37" s="6"/>
      <c r="D37" s="6"/>
      <c r="E37" s="6"/>
      <c r="F37" s="6"/>
      <c r="G37" s="6"/>
    </row>
    <row r="38" customFormat="false" ht="15" hidden="false" customHeight="false" outlineLevel="0" collapsed="false">
      <c r="A38" s="6"/>
      <c r="B38" s="6"/>
      <c r="C38" s="6"/>
      <c r="D38" s="6"/>
      <c r="E38" s="6"/>
      <c r="F38" s="6"/>
      <c r="G38" s="6"/>
    </row>
    <row r="40" customFormat="false" ht="15" hidden="false" customHeight="false" outlineLevel="0" collapsed="false">
      <c r="A40" s="31" t="s">
        <v>312</v>
      </c>
      <c r="B40" s="31"/>
      <c r="C40" s="31"/>
      <c r="D40" s="31"/>
      <c r="E40" s="31"/>
      <c r="F40" s="31"/>
      <c r="G40" s="31"/>
    </row>
    <row r="42" customFormat="false" ht="15" hidden="false" customHeight="true" outlineLevel="0" collapsed="false">
      <c r="B42" s="33" t="s">
        <v>313</v>
      </c>
      <c r="C42" s="33"/>
      <c r="D42" s="33"/>
      <c r="E42" s="33"/>
      <c r="F42" s="33"/>
    </row>
    <row r="43" customFormat="false" ht="15" hidden="false" customHeight="false" outlineLevel="0" collapsed="false">
      <c r="B43" s="34" t="s">
        <v>314</v>
      </c>
      <c r="C43" s="34" t="s">
        <v>314</v>
      </c>
      <c r="D43" s="34" t="s">
        <v>314</v>
      </c>
      <c r="E43" s="34" t="s">
        <v>314</v>
      </c>
      <c r="F43" s="34" t="s">
        <v>314</v>
      </c>
    </row>
    <row r="44" customFormat="false" ht="27.75" hidden="false" customHeight="true" outlineLevel="0" collapsed="false">
      <c r="B44" s="35" t="s">
        <v>315</v>
      </c>
      <c r="C44" s="35" t="s">
        <v>316</v>
      </c>
      <c r="D44" s="35" t="s">
        <v>317</v>
      </c>
      <c r="E44" s="35" t="s">
        <v>318</v>
      </c>
      <c r="F44" s="33" t="s">
        <v>319</v>
      </c>
    </row>
    <row r="46" customFormat="false" ht="15" hidden="false" customHeight="false" outlineLevel="0" collapsed="false">
      <c r="B46" s="36" t="s">
        <v>320</v>
      </c>
      <c r="C46" s="36"/>
      <c r="D46" s="36"/>
      <c r="E46" s="36"/>
      <c r="F46" s="36"/>
    </row>
  </sheetData>
  <autoFilter ref="A6:G12"/>
  <mergeCells count="7">
    <mergeCell ref="A5:G5"/>
    <mergeCell ref="A14:G14"/>
    <mergeCell ref="A25:G25"/>
    <mergeCell ref="A26:G26"/>
    <mergeCell ref="A40:G40"/>
    <mergeCell ref="B42:F42"/>
    <mergeCell ref="B46:F46"/>
  </mergeCells>
  <conditionalFormatting sqref="G7:G12">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G16:G23">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G28:G38">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G7:G12 G16:G23 G28:G38"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8D90"/>
    <pageSetUpPr fitToPage="true"/>
  </sheetPr>
  <dimension ref="A1: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44"/>
    <col collapsed="false" customWidth="true" hidden="false" outlineLevel="0" max="5" min="5" style="0" width="22"/>
    <col collapsed="false" customWidth="true" hidden="false" outlineLevel="0" max="6" min="6" style="0" width="26"/>
    <col collapsed="false" customWidth="true" hidden="false" outlineLevel="0" max="7" min="7" style="0" width="1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321</v>
      </c>
    </row>
    <row r="2" customFormat="false" ht="15" hidden="false" customHeight="false" outlineLevel="0" collapsed="false">
      <c r="A2" s="2" t="s">
        <v>322</v>
      </c>
    </row>
    <row r="3" customFormat="false" ht="15" hidden="false" customHeight="false" outlineLevel="0" collapsed="false">
      <c r="A3" s="3" t="str">
        <f aca="false">HYPERLINK("#'0 Index'!A1","↩ Index")</f>
        <v>↩ Index</v>
      </c>
    </row>
    <row r="5" customFormat="false" ht="15" hidden="false" customHeight="true" outlineLevel="0" collapsed="false">
      <c r="A5" s="37" t="s">
        <v>323</v>
      </c>
      <c r="B5" s="37"/>
      <c r="C5" s="6" t="s">
        <v>324</v>
      </c>
      <c r="D5" s="6"/>
      <c r="E5" s="6"/>
      <c r="F5" s="6"/>
      <c r="G5" s="6"/>
      <c r="H5" s="6"/>
      <c r="I5" s="7" t="s">
        <v>325</v>
      </c>
    </row>
    <row r="6" customFormat="false" ht="15" hidden="false" customHeight="true" outlineLevel="0" collapsed="false">
      <c r="A6" s="37" t="s">
        <v>326</v>
      </c>
      <c r="B6" s="37"/>
      <c r="C6" s="38" t="s">
        <v>327</v>
      </c>
      <c r="D6" s="38"/>
      <c r="E6" s="38"/>
      <c r="F6" s="38"/>
      <c r="G6" s="38"/>
      <c r="H6" s="38"/>
      <c r="I6" s="7" t="s">
        <v>328</v>
      </c>
    </row>
    <row r="7" customFormat="false" ht="19.4" hidden="false" customHeight="true" outlineLevel="0" collapsed="false">
      <c r="A7" s="37" t="s">
        <v>329</v>
      </c>
      <c r="B7" s="37"/>
      <c r="C7" s="6" t="s">
        <v>330</v>
      </c>
      <c r="D7" s="6"/>
      <c r="E7" s="6"/>
      <c r="F7" s="6"/>
      <c r="G7" s="6"/>
      <c r="H7" s="6"/>
      <c r="I7" s="7" t="s">
        <v>331</v>
      </c>
    </row>
    <row r="8" customFormat="false" ht="15" hidden="false" customHeight="true" outlineLevel="0" collapsed="false">
      <c r="A8" s="37" t="s">
        <v>332</v>
      </c>
      <c r="B8" s="37"/>
      <c r="C8" s="6" t="s">
        <v>333</v>
      </c>
      <c r="D8" s="6"/>
      <c r="E8" s="6"/>
      <c r="F8" s="6"/>
      <c r="G8" s="6"/>
      <c r="H8" s="6"/>
      <c r="I8" s="7" t="s">
        <v>334</v>
      </c>
    </row>
    <row r="9" customFormat="false" ht="15" hidden="false" customHeight="true" outlineLevel="0" collapsed="false">
      <c r="A9" s="37" t="s">
        <v>335</v>
      </c>
      <c r="B9" s="37"/>
      <c r="C9" s="6" t="s">
        <v>336</v>
      </c>
      <c r="D9" s="6"/>
      <c r="E9" s="6"/>
      <c r="F9" s="6"/>
      <c r="G9" s="6"/>
      <c r="H9" s="6"/>
      <c r="I9" s="7" t="s">
        <v>298</v>
      </c>
    </row>
    <row r="10" customFormat="false" ht="19.4" hidden="false" customHeight="true" outlineLevel="0" collapsed="false">
      <c r="A10" s="37" t="s">
        <v>337</v>
      </c>
      <c r="B10" s="37"/>
      <c r="C10" s="6" t="s">
        <v>338</v>
      </c>
      <c r="D10" s="6"/>
      <c r="E10" s="6"/>
      <c r="F10" s="6"/>
      <c r="G10" s="6"/>
      <c r="H10" s="6"/>
      <c r="I10" s="7" t="s">
        <v>331</v>
      </c>
    </row>
    <row r="12" customFormat="false" ht="15" hidden="false" customHeight="false" outlineLevel="0" collapsed="false">
      <c r="A12" s="39" t="s">
        <v>339</v>
      </c>
      <c r="B12" s="39"/>
      <c r="C12" s="39"/>
      <c r="D12" s="39"/>
      <c r="E12" s="39"/>
      <c r="F12" s="39"/>
      <c r="G12" s="39"/>
      <c r="H12" s="39"/>
      <c r="I12" s="39"/>
    </row>
    <row r="13" customFormat="false" ht="15" hidden="false" customHeight="true" outlineLevel="0" collapsed="false">
      <c r="A13" s="8" t="s">
        <v>340</v>
      </c>
      <c r="B13" s="8"/>
      <c r="C13" s="8"/>
      <c r="D13" s="8"/>
      <c r="E13" s="8"/>
      <c r="F13" s="8"/>
      <c r="G13" s="8"/>
      <c r="H13" s="8"/>
      <c r="I13" s="8"/>
    </row>
    <row r="14" customFormat="false" ht="15" hidden="false" customHeight="false" outlineLevel="0" collapsed="false">
      <c r="A14" s="40" t="s">
        <v>89</v>
      </c>
      <c r="B14" s="40" t="s">
        <v>208</v>
      </c>
      <c r="C14" s="40" t="s">
        <v>341</v>
      </c>
      <c r="D14" s="40" t="s">
        <v>342</v>
      </c>
      <c r="E14" s="40" t="s">
        <v>343</v>
      </c>
      <c r="F14" s="40" t="s">
        <v>344</v>
      </c>
      <c r="G14" s="40" t="s">
        <v>79</v>
      </c>
      <c r="H14" s="40" t="s">
        <v>77</v>
      </c>
      <c r="I14" s="40" t="s">
        <v>75</v>
      </c>
    </row>
    <row r="15" customFormat="false" ht="15" hidden="false" customHeight="false" outlineLevel="0" collapsed="false">
      <c r="A15" s="6" t="s">
        <v>345</v>
      </c>
      <c r="B15" s="6" t="s">
        <v>346</v>
      </c>
      <c r="C15" s="6" t="s">
        <v>347</v>
      </c>
      <c r="D15" s="6" t="s">
        <v>348</v>
      </c>
      <c r="E15" s="6" t="s">
        <v>349</v>
      </c>
      <c r="F15" s="6"/>
      <c r="G15" s="6"/>
      <c r="H15" s="6" t="s">
        <v>328</v>
      </c>
      <c r="I15" s="6" t="s">
        <v>34</v>
      </c>
    </row>
    <row r="16" customFormat="false" ht="23.85" hidden="false" customHeight="false" outlineLevel="0" collapsed="false">
      <c r="A16" s="6" t="s">
        <v>350</v>
      </c>
      <c r="B16" s="6" t="s">
        <v>351</v>
      </c>
      <c r="C16" s="6" t="s">
        <v>351</v>
      </c>
      <c r="D16" s="6" t="s">
        <v>352</v>
      </c>
      <c r="E16" s="6" t="s">
        <v>349</v>
      </c>
      <c r="F16" s="6"/>
      <c r="G16" s="6"/>
      <c r="H16" s="6" t="s">
        <v>353</v>
      </c>
      <c r="I16" s="6" t="s">
        <v>34</v>
      </c>
    </row>
    <row r="17" customFormat="false" ht="23.85" hidden="false" customHeight="false" outlineLevel="0" collapsed="false">
      <c r="A17" s="6" t="s">
        <v>354</v>
      </c>
      <c r="B17" s="6" t="s">
        <v>355</v>
      </c>
      <c r="C17" s="6" t="s">
        <v>356</v>
      </c>
      <c r="D17" s="6" t="s">
        <v>357</v>
      </c>
      <c r="E17" s="6" t="s">
        <v>358</v>
      </c>
      <c r="F17" s="6" t="s">
        <v>359</v>
      </c>
      <c r="G17" s="6" t="s">
        <v>130</v>
      </c>
      <c r="H17" s="6" t="s">
        <v>360</v>
      </c>
      <c r="I17" s="6" t="s">
        <v>32</v>
      </c>
    </row>
    <row r="18" customFormat="false" ht="15" hidden="false" customHeight="false" outlineLevel="0" collapsed="false">
      <c r="A18" s="6" t="s">
        <v>361</v>
      </c>
      <c r="B18" s="6" t="s">
        <v>362</v>
      </c>
      <c r="C18" s="6" t="s">
        <v>362</v>
      </c>
      <c r="D18" s="6" t="s">
        <v>363</v>
      </c>
      <c r="E18" s="6" t="s">
        <v>349</v>
      </c>
      <c r="F18" s="6"/>
      <c r="G18" s="6" t="s">
        <v>130</v>
      </c>
      <c r="H18" s="6" t="s">
        <v>364</v>
      </c>
      <c r="I18" s="6" t="s">
        <v>34</v>
      </c>
    </row>
    <row r="19" customFormat="false" ht="23.85" hidden="false" customHeight="false" outlineLevel="0" collapsed="false">
      <c r="A19" s="6" t="s">
        <v>365</v>
      </c>
      <c r="B19" s="6" t="s">
        <v>366</v>
      </c>
      <c r="C19" s="6" t="s">
        <v>367</v>
      </c>
      <c r="D19" s="6" t="s">
        <v>368</v>
      </c>
      <c r="E19" s="6" t="s">
        <v>349</v>
      </c>
      <c r="F19" s="6"/>
      <c r="G19" s="6" t="s">
        <v>216</v>
      </c>
      <c r="H19" s="6" t="s">
        <v>217</v>
      </c>
      <c r="I19" s="6" t="s">
        <v>32</v>
      </c>
    </row>
    <row r="20" customFormat="false" ht="35.05" hidden="false" customHeight="false" outlineLevel="0" collapsed="false">
      <c r="A20" s="6" t="s">
        <v>369</v>
      </c>
      <c r="B20" s="6" t="s">
        <v>370</v>
      </c>
      <c r="C20" s="6" t="s">
        <v>371</v>
      </c>
      <c r="D20" s="6" t="s">
        <v>372</v>
      </c>
      <c r="E20" s="6" t="s">
        <v>373</v>
      </c>
      <c r="F20" s="6" t="s">
        <v>374</v>
      </c>
      <c r="G20" s="6" t="s">
        <v>175</v>
      </c>
      <c r="H20" s="6" t="s">
        <v>176</v>
      </c>
      <c r="I20" s="6" t="s">
        <v>32</v>
      </c>
    </row>
    <row r="21" customFormat="false" ht="35.05" hidden="false" customHeight="false" outlineLevel="0" collapsed="false">
      <c r="A21" s="6" t="s">
        <v>375</v>
      </c>
      <c r="B21" s="6" t="s">
        <v>376</v>
      </c>
      <c r="C21" s="6" t="s">
        <v>377</v>
      </c>
      <c r="D21" s="6" t="s">
        <v>378</v>
      </c>
      <c r="E21" s="6" t="s">
        <v>373</v>
      </c>
      <c r="F21" s="6" t="s">
        <v>379</v>
      </c>
      <c r="G21" s="6" t="s">
        <v>175</v>
      </c>
      <c r="H21" s="6" t="s">
        <v>176</v>
      </c>
      <c r="I21" s="6" t="s">
        <v>32</v>
      </c>
    </row>
    <row r="22" customFormat="false" ht="23.85" hidden="false" customHeight="false" outlineLevel="0" collapsed="false">
      <c r="A22" s="6" t="s">
        <v>380</v>
      </c>
      <c r="B22" s="6" t="s">
        <v>381</v>
      </c>
      <c r="C22" s="6" t="s">
        <v>382</v>
      </c>
      <c r="D22" s="6" t="s">
        <v>383</v>
      </c>
      <c r="E22" s="6" t="s">
        <v>384</v>
      </c>
      <c r="F22" s="6" t="s">
        <v>385</v>
      </c>
      <c r="G22" s="6" t="s">
        <v>116</v>
      </c>
      <c r="H22" s="6" t="s">
        <v>386</v>
      </c>
      <c r="I22" s="6" t="s">
        <v>32</v>
      </c>
    </row>
    <row r="23" customFormat="false" ht="23.85" hidden="false" customHeight="false" outlineLevel="0" collapsed="false">
      <c r="A23" s="6" t="s">
        <v>387</v>
      </c>
      <c r="B23" s="6" t="s">
        <v>388</v>
      </c>
      <c r="C23" s="6" t="s">
        <v>389</v>
      </c>
      <c r="D23" s="6" t="s">
        <v>390</v>
      </c>
      <c r="E23" s="6" t="s">
        <v>349</v>
      </c>
      <c r="F23" s="6"/>
      <c r="G23" s="6" t="s">
        <v>116</v>
      </c>
      <c r="H23" s="6" t="s">
        <v>104</v>
      </c>
      <c r="I23" s="6" t="s">
        <v>33</v>
      </c>
    </row>
    <row r="24" customFormat="false" ht="23.85" hidden="false" customHeight="false" outlineLevel="0" collapsed="false">
      <c r="A24" s="6" t="s">
        <v>391</v>
      </c>
      <c r="B24" s="6" t="s">
        <v>392</v>
      </c>
      <c r="C24" s="6" t="s">
        <v>393</v>
      </c>
      <c r="D24" s="6" t="s">
        <v>394</v>
      </c>
      <c r="E24" s="6" t="s">
        <v>395</v>
      </c>
      <c r="F24" s="6"/>
      <c r="G24" s="6" t="s">
        <v>116</v>
      </c>
      <c r="H24" s="6" t="s">
        <v>396</v>
      </c>
      <c r="I24" s="6" t="s">
        <v>34</v>
      </c>
    </row>
    <row r="25" customFormat="false" ht="23.85" hidden="false" customHeight="false" outlineLevel="0" collapsed="false">
      <c r="A25" s="6" t="s">
        <v>397</v>
      </c>
      <c r="B25" s="6" t="s">
        <v>398</v>
      </c>
      <c r="C25" s="6" t="s">
        <v>399</v>
      </c>
      <c r="D25" s="6" t="s">
        <v>400</v>
      </c>
      <c r="E25" s="6" t="s">
        <v>395</v>
      </c>
      <c r="F25" s="6"/>
      <c r="G25" s="6" t="s">
        <v>116</v>
      </c>
      <c r="H25" s="6" t="s">
        <v>104</v>
      </c>
      <c r="I25" s="6" t="s">
        <v>33</v>
      </c>
    </row>
    <row r="26" customFormat="false" ht="23.85" hidden="false" customHeight="false" outlineLevel="0" collapsed="false">
      <c r="A26" s="6" t="s">
        <v>401</v>
      </c>
      <c r="B26" s="6" t="s">
        <v>402</v>
      </c>
      <c r="C26" s="6" t="s">
        <v>403</v>
      </c>
      <c r="D26" s="6" t="s">
        <v>404</v>
      </c>
      <c r="E26" s="6" t="s">
        <v>405</v>
      </c>
      <c r="F26" s="6"/>
      <c r="G26" s="6" t="s">
        <v>406</v>
      </c>
      <c r="H26" s="6" t="s">
        <v>407</v>
      </c>
      <c r="I26" s="6" t="s">
        <v>33</v>
      </c>
    </row>
    <row r="27" customFormat="false" ht="35.05" hidden="false" customHeight="false" outlineLevel="0" collapsed="false">
      <c r="A27" s="6" t="s">
        <v>408</v>
      </c>
      <c r="B27" s="6" t="s">
        <v>409</v>
      </c>
      <c r="C27" s="6" t="s">
        <v>410</v>
      </c>
      <c r="D27" s="6" t="s">
        <v>411</v>
      </c>
      <c r="E27" s="6" t="s">
        <v>373</v>
      </c>
      <c r="F27" s="6" t="s">
        <v>412</v>
      </c>
      <c r="G27" s="6" t="s">
        <v>406</v>
      </c>
      <c r="H27" s="6" t="s">
        <v>413</v>
      </c>
      <c r="I27" s="6" t="s">
        <v>34</v>
      </c>
    </row>
    <row r="28" customFormat="false" ht="23.85" hidden="false" customHeight="false" outlineLevel="0" collapsed="false">
      <c r="A28" s="6" t="s">
        <v>414</v>
      </c>
      <c r="B28" s="6" t="s">
        <v>415</v>
      </c>
      <c r="C28" s="6" t="s">
        <v>415</v>
      </c>
      <c r="D28" s="6" t="s">
        <v>416</v>
      </c>
      <c r="E28" s="6" t="s">
        <v>349</v>
      </c>
      <c r="F28" s="6"/>
      <c r="G28" s="6" t="s">
        <v>417</v>
      </c>
      <c r="H28" s="6" t="s">
        <v>418</v>
      </c>
      <c r="I28" s="6" t="s">
        <v>32</v>
      </c>
    </row>
    <row r="29" customFormat="false" ht="23.85" hidden="false" customHeight="false" outlineLevel="0" collapsed="false">
      <c r="A29" s="6" t="s">
        <v>419</v>
      </c>
      <c r="B29" s="6" t="s">
        <v>420</v>
      </c>
      <c r="C29" s="6" t="s">
        <v>421</v>
      </c>
      <c r="D29" s="6" t="s">
        <v>422</v>
      </c>
      <c r="E29" s="6" t="s">
        <v>423</v>
      </c>
      <c r="F29" s="6"/>
      <c r="G29" s="6" t="s">
        <v>424</v>
      </c>
      <c r="H29" s="6" t="s">
        <v>425</v>
      </c>
      <c r="I29" s="6" t="s">
        <v>32</v>
      </c>
    </row>
    <row r="30" customFormat="false" ht="23.85" hidden="false" customHeight="false" outlineLevel="0" collapsed="false">
      <c r="A30" s="6" t="s">
        <v>426</v>
      </c>
      <c r="B30" s="6" t="s">
        <v>427</v>
      </c>
      <c r="C30" s="6" t="s">
        <v>428</v>
      </c>
      <c r="D30" s="6" t="s">
        <v>429</v>
      </c>
      <c r="E30" s="6" t="s">
        <v>349</v>
      </c>
      <c r="F30" s="6"/>
      <c r="G30" s="6" t="s">
        <v>99</v>
      </c>
      <c r="H30" s="6" t="s">
        <v>328</v>
      </c>
      <c r="I30" s="6" t="s">
        <v>34</v>
      </c>
    </row>
    <row r="31" customFormat="false" ht="35.05" hidden="false" customHeight="false" outlineLevel="0" collapsed="false">
      <c r="A31" s="6" t="s">
        <v>430</v>
      </c>
      <c r="B31" s="6" t="s">
        <v>431</v>
      </c>
      <c r="C31" s="6" t="s">
        <v>431</v>
      </c>
      <c r="D31" s="6" t="s">
        <v>432</v>
      </c>
      <c r="E31" s="6" t="s">
        <v>349</v>
      </c>
      <c r="F31" s="6" t="s">
        <v>433</v>
      </c>
      <c r="G31" s="6" t="s">
        <v>434</v>
      </c>
      <c r="H31" s="6" t="s">
        <v>435</v>
      </c>
      <c r="I31" s="6" t="s">
        <v>32</v>
      </c>
    </row>
    <row r="32" customFormat="false" ht="23.85" hidden="false" customHeight="false" outlineLevel="0" collapsed="false">
      <c r="A32" s="6" t="s">
        <v>436</v>
      </c>
      <c r="B32" s="6" t="s">
        <v>437</v>
      </c>
      <c r="C32" s="6" t="s">
        <v>437</v>
      </c>
      <c r="D32" s="6" t="s">
        <v>438</v>
      </c>
      <c r="E32" s="6" t="s">
        <v>349</v>
      </c>
      <c r="F32" s="6" t="s">
        <v>439</v>
      </c>
      <c r="G32" s="6" t="s">
        <v>440</v>
      </c>
      <c r="H32" s="6" t="s">
        <v>441</v>
      </c>
      <c r="I32" s="6" t="s">
        <v>32</v>
      </c>
    </row>
    <row r="33" customFormat="false" ht="23.85" hidden="false" customHeight="false" outlineLevel="0" collapsed="false">
      <c r="A33" s="6" t="s">
        <v>442</v>
      </c>
      <c r="B33" s="6" t="s">
        <v>443</v>
      </c>
      <c r="C33" s="6" t="s">
        <v>444</v>
      </c>
      <c r="D33" s="6" t="s">
        <v>445</v>
      </c>
      <c r="E33" s="6" t="s">
        <v>349</v>
      </c>
      <c r="F33" s="6" t="s">
        <v>439</v>
      </c>
      <c r="G33" s="6" t="s">
        <v>145</v>
      </c>
      <c r="H33" s="6" t="s">
        <v>146</v>
      </c>
      <c r="I33" s="6" t="s">
        <v>32</v>
      </c>
    </row>
    <row r="34" customFormat="false" ht="23.85" hidden="false" customHeight="false" outlineLevel="0" collapsed="false">
      <c r="A34" s="6" t="s">
        <v>446</v>
      </c>
      <c r="B34" s="6" t="s">
        <v>447</v>
      </c>
      <c r="C34" s="6" t="s">
        <v>448</v>
      </c>
      <c r="D34" s="6" t="s">
        <v>449</v>
      </c>
      <c r="E34" s="6" t="s">
        <v>450</v>
      </c>
      <c r="F34" s="6"/>
      <c r="G34" s="6" t="s">
        <v>406</v>
      </c>
      <c r="H34" s="6" t="s">
        <v>407</v>
      </c>
      <c r="I34" s="6" t="s">
        <v>33</v>
      </c>
    </row>
    <row r="35" customFormat="false" ht="15" hidden="false" customHeight="false" outlineLevel="0" collapsed="false">
      <c r="A35" s="6"/>
      <c r="B35" s="6"/>
      <c r="C35" s="6"/>
      <c r="D35" s="6"/>
      <c r="E35" s="6"/>
      <c r="F35" s="6"/>
      <c r="G35" s="6"/>
      <c r="H35" s="6"/>
      <c r="I35" s="6"/>
    </row>
    <row r="36" customFormat="false" ht="15" hidden="false" customHeight="false" outlineLevel="0" collapsed="false">
      <c r="A36" s="6"/>
      <c r="B36" s="6"/>
      <c r="C36" s="6"/>
      <c r="D36" s="6"/>
      <c r="E36" s="6"/>
      <c r="F36" s="6"/>
      <c r="G36" s="6"/>
      <c r="H36" s="6"/>
      <c r="I36" s="6"/>
    </row>
    <row r="37" customFormat="false" ht="15" hidden="false" customHeight="false" outlineLevel="0" collapsed="false">
      <c r="A37" s="6"/>
      <c r="B37" s="6"/>
      <c r="C37" s="6"/>
      <c r="D37" s="6"/>
      <c r="E37" s="6"/>
      <c r="F37" s="6"/>
      <c r="G37" s="6"/>
      <c r="H37" s="6"/>
      <c r="I37" s="6"/>
    </row>
    <row r="39" customFormat="false" ht="15" hidden="false" customHeight="false" outlineLevel="0" collapsed="false">
      <c r="A39" s="39" t="s">
        <v>451</v>
      </c>
      <c r="B39" s="39"/>
      <c r="C39" s="39"/>
      <c r="D39" s="39"/>
      <c r="E39" s="39"/>
      <c r="F39" s="39"/>
      <c r="G39" s="39"/>
      <c r="H39" s="39"/>
      <c r="I39" s="39"/>
    </row>
    <row r="40" customFormat="false" ht="15" hidden="false" customHeight="false" outlineLevel="0" collapsed="false">
      <c r="A40" s="40" t="s">
        <v>89</v>
      </c>
      <c r="B40" s="40" t="s">
        <v>452</v>
      </c>
      <c r="C40" s="40" t="s">
        <v>453</v>
      </c>
      <c r="D40" s="40" t="s">
        <v>454</v>
      </c>
      <c r="E40" s="40" t="s">
        <v>455</v>
      </c>
      <c r="F40" s="40" t="s">
        <v>240</v>
      </c>
      <c r="G40" s="40" t="s">
        <v>79</v>
      </c>
      <c r="H40" s="40" t="s">
        <v>77</v>
      </c>
      <c r="I40" s="40" t="s">
        <v>75</v>
      </c>
    </row>
    <row r="41" customFormat="false" ht="23.85" hidden="false" customHeight="false" outlineLevel="0" collapsed="false">
      <c r="A41" s="6" t="s">
        <v>456</v>
      </c>
      <c r="B41" s="6" t="s">
        <v>457</v>
      </c>
      <c r="C41" s="6" t="s">
        <v>458</v>
      </c>
      <c r="D41" s="6" t="s">
        <v>459</v>
      </c>
      <c r="E41" s="6"/>
      <c r="F41" s="6"/>
      <c r="G41" s="6"/>
      <c r="H41" s="6" t="s">
        <v>104</v>
      </c>
      <c r="I41" s="6" t="s">
        <v>33</v>
      </c>
    </row>
    <row r="42" customFormat="false" ht="35.05" hidden="false" customHeight="false" outlineLevel="0" collapsed="false">
      <c r="A42" s="6" t="s">
        <v>460</v>
      </c>
      <c r="B42" s="6" t="s">
        <v>461</v>
      </c>
      <c r="C42" s="6" t="s">
        <v>462</v>
      </c>
      <c r="D42" s="6"/>
      <c r="E42" s="6" t="s">
        <v>463</v>
      </c>
      <c r="F42" s="6"/>
      <c r="G42" s="6" t="s">
        <v>99</v>
      </c>
      <c r="H42" s="6" t="s">
        <v>100</v>
      </c>
      <c r="I42" s="6" t="s">
        <v>32</v>
      </c>
    </row>
    <row r="43" customFormat="false" ht="35.05" hidden="false" customHeight="false" outlineLevel="0" collapsed="false">
      <c r="A43" s="6" t="s">
        <v>464</v>
      </c>
      <c r="B43" s="6" t="s">
        <v>465</v>
      </c>
      <c r="C43" s="6" t="s">
        <v>466</v>
      </c>
      <c r="D43" s="6"/>
      <c r="E43" s="6"/>
      <c r="F43" s="6"/>
      <c r="G43" s="6" t="s">
        <v>297</v>
      </c>
      <c r="H43" s="6" t="s">
        <v>298</v>
      </c>
      <c r="I43" s="6" t="s">
        <v>32</v>
      </c>
    </row>
    <row r="44" customFormat="false" ht="35.05" hidden="false" customHeight="false" outlineLevel="0" collapsed="false">
      <c r="A44" s="6" t="s">
        <v>467</v>
      </c>
      <c r="B44" s="6" t="s">
        <v>468</v>
      </c>
      <c r="C44" s="6" t="s">
        <v>469</v>
      </c>
      <c r="D44" s="6"/>
      <c r="E44" s="6"/>
      <c r="F44" s="6"/>
      <c r="G44" s="6" t="s">
        <v>297</v>
      </c>
      <c r="H44" s="6" t="s">
        <v>298</v>
      </c>
      <c r="I44" s="6" t="s">
        <v>32</v>
      </c>
    </row>
    <row r="45" customFormat="false" ht="35.05" hidden="false" customHeight="false" outlineLevel="0" collapsed="false">
      <c r="A45" s="6" t="s">
        <v>470</v>
      </c>
      <c r="B45" s="6" t="s">
        <v>471</v>
      </c>
      <c r="C45" s="6" t="s">
        <v>472</v>
      </c>
      <c r="D45" s="6"/>
      <c r="E45" s="6"/>
      <c r="F45" s="6"/>
      <c r="G45" s="6"/>
      <c r="H45" s="6" t="s">
        <v>104</v>
      </c>
      <c r="I45" s="6" t="s">
        <v>33</v>
      </c>
    </row>
    <row r="46" customFormat="false" ht="23.85" hidden="false" customHeight="false" outlineLevel="0" collapsed="false">
      <c r="A46" s="6" t="s">
        <v>473</v>
      </c>
      <c r="B46" s="6" t="s">
        <v>474</v>
      </c>
      <c r="C46" s="6" t="s">
        <v>475</v>
      </c>
      <c r="D46" s="6"/>
      <c r="E46" s="6"/>
      <c r="F46" s="6"/>
      <c r="G46" s="6"/>
      <c r="H46" s="6" t="s">
        <v>104</v>
      </c>
      <c r="I46" s="6" t="s">
        <v>33</v>
      </c>
    </row>
    <row r="47" customFormat="false" ht="35.05" hidden="false" customHeight="false" outlineLevel="0" collapsed="false">
      <c r="A47" s="6" t="s">
        <v>476</v>
      </c>
      <c r="B47" s="6" t="s">
        <v>477</v>
      </c>
      <c r="C47" s="6" t="s">
        <v>478</v>
      </c>
      <c r="D47" s="6"/>
      <c r="E47" s="6"/>
      <c r="F47" s="6"/>
      <c r="G47" s="6" t="s">
        <v>130</v>
      </c>
      <c r="H47" s="6" t="s">
        <v>104</v>
      </c>
      <c r="I47" s="6" t="s">
        <v>33</v>
      </c>
    </row>
    <row r="48" customFormat="false" ht="35.05" hidden="false" customHeight="false" outlineLevel="0" collapsed="false">
      <c r="A48" s="6" t="s">
        <v>479</v>
      </c>
      <c r="B48" s="6" t="s">
        <v>480</v>
      </c>
      <c r="C48" s="6" t="s">
        <v>481</v>
      </c>
      <c r="D48" s="6"/>
      <c r="E48" s="6"/>
      <c r="F48" s="6"/>
      <c r="G48" s="6"/>
      <c r="H48" s="6" t="s">
        <v>482</v>
      </c>
      <c r="I48" s="6" t="s">
        <v>32</v>
      </c>
    </row>
    <row r="49" customFormat="false" ht="15" hidden="false" customHeight="false" outlineLevel="0" collapsed="false">
      <c r="A49" s="6"/>
      <c r="B49" s="6"/>
      <c r="C49" s="6"/>
      <c r="D49" s="6"/>
      <c r="E49" s="6"/>
      <c r="F49" s="6"/>
      <c r="G49" s="6"/>
      <c r="H49" s="6"/>
      <c r="I49" s="6"/>
    </row>
    <row r="50" customFormat="false" ht="15" hidden="false" customHeight="false" outlineLevel="0" collapsed="false">
      <c r="A50" s="6"/>
      <c r="B50" s="6"/>
      <c r="C50" s="6"/>
      <c r="D50" s="6"/>
      <c r="E50" s="6"/>
      <c r="F50" s="6"/>
      <c r="G50" s="6"/>
      <c r="H50" s="6"/>
      <c r="I50" s="6"/>
    </row>
  </sheetData>
  <autoFilter ref="A14:I37"/>
  <mergeCells count="15">
    <mergeCell ref="A5:B5"/>
    <mergeCell ref="C5:H5"/>
    <mergeCell ref="A6:B6"/>
    <mergeCell ref="C6:H6"/>
    <mergeCell ref="A7:B7"/>
    <mergeCell ref="C7:H7"/>
    <mergeCell ref="A8:B8"/>
    <mergeCell ref="C8:H8"/>
    <mergeCell ref="A9:B9"/>
    <mergeCell ref="C9:H9"/>
    <mergeCell ref="A10:B10"/>
    <mergeCell ref="C10:H10"/>
    <mergeCell ref="A12:I12"/>
    <mergeCell ref="A13:I13"/>
    <mergeCell ref="A39:I39"/>
  </mergeCells>
  <conditionalFormatting sqref="I15:I37">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I41:I50">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I15:I37 I41:I50"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8D90"/>
    <pageSetUpPr fitToPage="true"/>
  </sheetPr>
  <dimension ref="A1:I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32"/>
    <col collapsed="false" customWidth="true" hidden="false" outlineLevel="0" max="4" min="4" style="0" width="20"/>
    <col collapsed="false" customWidth="true" hidden="false" outlineLevel="0" max="5" min="5" style="0" width="26"/>
    <col collapsed="false" customWidth="true" hidden="false" outlineLevel="0" max="6" min="6" style="0" width="30"/>
    <col collapsed="false" customWidth="true" hidden="false" outlineLevel="0" max="7" min="7" style="0" width="1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483</v>
      </c>
    </row>
    <row r="2" customFormat="false" ht="15" hidden="false" customHeight="false" outlineLevel="0" collapsed="false">
      <c r="A2" s="2" t="s">
        <v>484</v>
      </c>
    </row>
    <row r="3" customFormat="false" ht="15" hidden="false" customHeight="false" outlineLevel="0" collapsed="false">
      <c r="A3" s="3" t="str">
        <f aca="false">HYPERLINK("#'0 Index'!A1","↩ Index")</f>
        <v>↩ Index</v>
      </c>
    </row>
    <row r="5" customFormat="false" ht="15" hidden="false" customHeight="true" outlineLevel="0" collapsed="false">
      <c r="A5" s="37" t="s">
        <v>323</v>
      </c>
      <c r="B5" s="37"/>
      <c r="C5" s="6" t="s">
        <v>485</v>
      </c>
      <c r="D5" s="6"/>
      <c r="E5" s="6"/>
      <c r="F5" s="6"/>
      <c r="G5" s="6"/>
      <c r="H5" s="6"/>
      <c r="I5" s="7" t="s">
        <v>217</v>
      </c>
    </row>
    <row r="6" customFormat="false" ht="15" hidden="false" customHeight="true" outlineLevel="0" collapsed="false">
      <c r="A6" s="37" t="s">
        <v>326</v>
      </c>
      <c r="B6" s="37"/>
      <c r="C6" s="38" t="s">
        <v>486</v>
      </c>
      <c r="D6" s="38"/>
      <c r="E6" s="38"/>
      <c r="F6" s="38"/>
      <c r="G6" s="38"/>
      <c r="H6" s="38"/>
      <c r="I6" s="7" t="s">
        <v>328</v>
      </c>
    </row>
    <row r="7" customFormat="false" ht="15" hidden="false" customHeight="true" outlineLevel="0" collapsed="false">
      <c r="A7" s="37" t="s">
        <v>335</v>
      </c>
      <c r="B7" s="37"/>
      <c r="C7" s="6" t="s">
        <v>487</v>
      </c>
      <c r="D7" s="6"/>
      <c r="E7" s="6"/>
      <c r="F7" s="6"/>
      <c r="G7" s="6"/>
      <c r="H7" s="6"/>
      <c r="I7" s="7" t="s">
        <v>334</v>
      </c>
    </row>
    <row r="8" customFormat="false" ht="19.4" hidden="false" customHeight="true" outlineLevel="0" collapsed="false">
      <c r="A8" s="37" t="s">
        <v>332</v>
      </c>
      <c r="B8" s="37"/>
      <c r="C8" s="6" t="s">
        <v>488</v>
      </c>
      <c r="D8" s="6"/>
      <c r="E8" s="6"/>
      <c r="F8" s="6"/>
      <c r="G8" s="6"/>
      <c r="H8" s="6"/>
      <c r="I8" s="7" t="s">
        <v>331</v>
      </c>
    </row>
    <row r="9" customFormat="false" ht="19.4" hidden="false" customHeight="true" outlineLevel="0" collapsed="false">
      <c r="A9" s="37" t="s">
        <v>489</v>
      </c>
      <c r="B9" s="37"/>
      <c r="C9" s="6" t="s">
        <v>490</v>
      </c>
      <c r="D9" s="6"/>
      <c r="E9" s="6"/>
      <c r="F9" s="6"/>
      <c r="G9" s="6"/>
      <c r="H9" s="6"/>
      <c r="I9" s="7" t="s">
        <v>491</v>
      </c>
    </row>
    <row r="10" customFormat="false" ht="15" hidden="false" customHeight="true" outlineLevel="0" collapsed="false">
      <c r="A10" s="37" t="s">
        <v>492</v>
      </c>
      <c r="B10" s="37"/>
      <c r="C10" s="6" t="s">
        <v>493</v>
      </c>
      <c r="D10" s="6"/>
      <c r="E10" s="6"/>
      <c r="F10" s="6"/>
      <c r="G10" s="6"/>
      <c r="H10" s="6"/>
      <c r="I10" s="7" t="s">
        <v>259</v>
      </c>
    </row>
    <row r="11" customFormat="false" ht="15" hidden="false" customHeight="true" outlineLevel="0" collapsed="false">
      <c r="A11" s="37" t="s">
        <v>494</v>
      </c>
      <c r="B11" s="37"/>
      <c r="C11" s="6" t="s">
        <v>495</v>
      </c>
      <c r="D11" s="6"/>
      <c r="E11" s="6"/>
      <c r="F11" s="6"/>
      <c r="G11" s="6"/>
      <c r="H11" s="6"/>
      <c r="I11" s="7" t="s">
        <v>496</v>
      </c>
    </row>
    <row r="13" customFormat="false" ht="15" hidden="false" customHeight="false" outlineLevel="0" collapsed="false">
      <c r="A13" s="39" t="s">
        <v>497</v>
      </c>
      <c r="B13" s="39"/>
      <c r="C13" s="39"/>
      <c r="D13" s="39"/>
      <c r="E13" s="39"/>
      <c r="F13" s="39"/>
      <c r="G13" s="39"/>
      <c r="H13" s="39"/>
      <c r="I13" s="39"/>
    </row>
    <row r="14" customFormat="false" ht="15" hidden="false" customHeight="true" outlineLevel="0" collapsed="false">
      <c r="A14" s="8" t="s">
        <v>498</v>
      </c>
      <c r="B14" s="8"/>
      <c r="C14" s="8"/>
      <c r="D14" s="8"/>
      <c r="E14" s="8"/>
      <c r="F14" s="8"/>
      <c r="G14" s="8"/>
      <c r="H14" s="8"/>
      <c r="I14" s="8"/>
    </row>
    <row r="15" customFormat="false" ht="15" hidden="false" customHeight="false" outlineLevel="0" collapsed="false">
      <c r="A15" s="40" t="s">
        <v>89</v>
      </c>
      <c r="B15" s="40" t="s">
        <v>499</v>
      </c>
      <c r="C15" s="40" t="s">
        <v>500</v>
      </c>
      <c r="D15" s="40" t="s">
        <v>501</v>
      </c>
      <c r="E15" s="40" t="s">
        <v>502</v>
      </c>
      <c r="F15" s="40" t="s">
        <v>503</v>
      </c>
      <c r="G15" s="40" t="s">
        <v>79</v>
      </c>
      <c r="H15" s="40" t="s">
        <v>77</v>
      </c>
      <c r="I15" s="40" t="s">
        <v>75</v>
      </c>
    </row>
    <row r="16" customFormat="false" ht="23.85" hidden="false" customHeight="false" outlineLevel="0" collapsed="false">
      <c r="A16" s="6" t="s">
        <v>504</v>
      </c>
      <c r="B16" s="6" t="s">
        <v>505</v>
      </c>
      <c r="C16" s="6" t="s">
        <v>506</v>
      </c>
      <c r="D16" s="6" t="s">
        <v>507</v>
      </c>
      <c r="E16" s="6" t="s">
        <v>508</v>
      </c>
      <c r="F16" s="6" t="s">
        <v>509</v>
      </c>
      <c r="G16" s="6" t="s">
        <v>510</v>
      </c>
      <c r="H16" s="6" t="s">
        <v>511</v>
      </c>
      <c r="I16" s="6" t="s">
        <v>33</v>
      </c>
    </row>
    <row r="17" customFormat="false" ht="35.05" hidden="false" customHeight="false" outlineLevel="0" collapsed="false">
      <c r="A17" s="6" t="s">
        <v>512</v>
      </c>
      <c r="B17" s="6" t="s">
        <v>513</v>
      </c>
      <c r="C17" s="6" t="s">
        <v>514</v>
      </c>
      <c r="D17" s="6" t="s">
        <v>515</v>
      </c>
      <c r="E17" s="6" t="s">
        <v>516</v>
      </c>
      <c r="F17" s="6" t="s">
        <v>509</v>
      </c>
      <c r="G17" s="6" t="s">
        <v>510</v>
      </c>
      <c r="H17" s="6" t="s">
        <v>517</v>
      </c>
      <c r="I17" s="6" t="s">
        <v>33</v>
      </c>
    </row>
    <row r="18" customFormat="false" ht="23.85" hidden="false" customHeight="false" outlineLevel="0" collapsed="false">
      <c r="A18" s="6" t="s">
        <v>518</v>
      </c>
      <c r="B18" s="6" t="s">
        <v>519</v>
      </c>
      <c r="C18" s="6" t="s">
        <v>520</v>
      </c>
      <c r="D18" s="6" t="s">
        <v>521</v>
      </c>
      <c r="E18" s="6" t="s">
        <v>522</v>
      </c>
      <c r="F18" s="6" t="s">
        <v>509</v>
      </c>
      <c r="G18" s="6" t="s">
        <v>523</v>
      </c>
      <c r="H18" s="6" t="s">
        <v>524</v>
      </c>
      <c r="I18" s="6" t="s">
        <v>33</v>
      </c>
    </row>
    <row r="19" customFormat="false" ht="15" hidden="false" customHeight="false" outlineLevel="0" collapsed="false">
      <c r="A19" s="6"/>
      <c r="B19" s="6"/>
      <c r="C19" s="6"/>
      <c r="D19" s="6"/>
      <c r="E19" s="6"/>
      <c r="F19" s="6"/>
      <c r="G19" s="6"/>
      <c r="H19" s="6"/>
      <c r="I19" s="6"/>
    </row>
    <row r="21" customFormat="false" ht="15" hidden="false" customHeight="false" outlineLevel="0" collapsed="false">
      <c r="A21" s="39" t="s">
        <v>525</v>
      </c>
      <c r="B21" s="39"/>
      <c r="C21" s="39"/>
      <c r="D21" s="39"/>
      <c r="E21" s="39"/>
      <c r="F21" s="39"/>
      <c r="G21" s="39"/>
      <c r="H21" s="39"/>
      <c r="I21" s="39"/>
    </row>
    <row r="22" customFormat="false" ht="15" hidden="false" customHeight="true" outlineLevel="0" collapsed="false">
      <c r="A22" s="8" t="s">
        <v>526</v>
      </c>
      <c r="B22" s="8"/>
      <c r="C22" s="8"/>
      <c r="D22" s="8"/>
      <c r="E22" s="8"/>
      <c r="F22" s="8"/>
      <c r="G22" s="8"/>
      <c r="H22" s="8"/>
      <c r="I22" s="8"/>
    </row>
    <row r="23" customFormat="false" ht="15" hidden="false" customHeight="false" outlineLevel="0" collapsed="false">
      <c r="A23" s="40" t="s">
        <v>89</v>
      </c>
      <c r="B23" s="40" t="s">
        <v>527</v>
      </c>
      <c r="C23" s="40" t="s">
        <v>528</v>
      </c>
      <c r="D23" s="40" t="s">
        <v>480</v>
      </c>
      <c r="E23" s="40" t="s">
        <v>529</v>
      </c>
      <c r="F23" s="40" t="s">
        <v>240</v>
      </c>
      <c r="G23" s="40" t="s">
        <v>79</v>
      </c>
      <c r="H23" s="40" t="s">
        <v>77</v>
      </c>
      <c r="I23" s="40" t="s">
        <v>75</v>
      </c>
    </row>
    <row r="24" customFormat="false" ht="15" hidden="false" customHeight="false" outlineLevel="0" collapsed="false">
      <c r="A24" s="6" t="s">
        <v>530</v>
      </c>
      <c r="B24" s="6" t="s">
        <v>531</v>
      </c>
      <c r="C24" s="6" t="s">
        <v>532</v>
      </c>
      <c r="D24" s="6" t="s">
        <v>533</v>
      </c>
      <c r="E24" s="6"/>
      <c r="F24" s="6"/>
      <c r="G24" s="6"/>
      <c r="H24" s="6" t="s">
        <v>104</v>
      </c>
      <c r="I24" s="6" t="s">
        <v>33</v>
      </c>
    </row>
    <row r="25" customFormat="false" ht="15" hidden="false" customHeight="false" outlineLevel="0" collapsed="false">
      <c r="A25" s="6" t="s">
        <v>534</v>
      </c>
      <c r="B25" s="6" t="s">
        <v>535</v>
      </c>
      <c r="C25" s="6" t="s">
        <v>536</v>
      </c>
      <c r="D25" s="6" t="s">
        <v>537</v>
      </c>
      <c r="E25" s="6"/>
      <c r="F25" s="6"/>
      <c r="G25" s="6"/>
      <c r="H25" s="6" t="s">
        <v>104</v>
      </c>
      <c r="I25" s="6" t="s">
        <v>33</v>
      </c>
    </row>
    <row r="26" customFormat="false" ht="15" hidden="false" customHeight="false" outlineLevel="0" collapsed="false">
      <c r="A26" s="6" t="s">
        <v>538</v>
      </c>
      <c r="B26" s="6" t="s">
        <v>539</v>
      </c>
      <c r="C26" s="6" t="s">
        <v>540</v>
      </c>
      <c r="D26" s="6" t="s">
        <v>541</v>
      </c>
      <c r="E26" s="6"/>
      <c r="F26" s="6"/>
      <c r="G26" s="6" t="s">
        <v>542</v>
      </c>
      <c r="H26" s="6" t="s">
        <v>104</v>
      </c>
      <c r="I26" s="6" t="s">
        <v>33</v>
      </c>
    </row>
    <row r="27" customFormat="false" ht="46.25" hidden="false" customHeight="false" outlineLevel="0" collapsed="false">
      <c r="A27" s="6" t="s">
        <v>543</v>
      </c>
      <c r="B27" s="6" t="s">
        <v>544</v>
      </c>
      <c r="C27" s="6" t="s">
        <v>545</v>
      </c>
      <c r="D27" s="6" t="s">
        <v>546</v>
      </c>
      <c r="E27" s="6" t="s">
        <v>547</v>
      </c>
      <c r="F27" s="6" t="s">
        <v>548</v>
      </c>
      <c r="G27" s="6" t="s">
        <v>549</v>
      </c>
      <c r="H27" s="6" t="s">
        <v>550</v>
      </c>
      <c r="I27" s="6" t="s">
        <v>33</v>
      </c>
    </row>
    <row r="28" customFormat="false" ht="23.85" hidden="false" customHeight="false" outlineLevel="0" collapsed="false">
      <c r="A28" s="6" t="s">
        <v>551</v>
      </c>
      <c r="B28" s="6" t="s">
        <v>552</v>
      </c>
      <c r="C28" s="6" t="s">
        <v>553</v>
      </c>
      <c r="D28" s="6" t="s">
        <v>554</v>
      </c>
      <c r="E28" s="6"/>
      <c r="F28" s="6" t="s">
        <v>555</v>
      </c>
      <c r="G28" s="6" t="s">
        <v>556</v>
      </c>
      <c r="H28" s="6" t="s">
        <v>557</v>
      </c>
      <c r="I28" s="6" t="s">
        <v>33</v>
      </c>
    </row>
    <row r="29" customFormat="false" ht="15" hidden="false" customHeight="false" outlineLevel="0" collapsed="false">
      <c r="A29" s="6" t="s">
        <v>558</v>
      </c>
      <c r="B29" s="6" t="s">
        <v>559</v>
      </c>
      <c r="C29" s="6" t="s">
        <v>560</v>
      </c>
      <c r="D29" s="6" t="s">
        <v>561</v>
      </c>
      <c r="E29" s="6"/>
      <c r="F29" s="6" t="s">
        <v>562</v>
      </c>
      <c r="G29" s="6"/>
      <c r="H29" s="6" t="s">
        <v>104</v>
      </c>
      <c r="I29" s="6" t="s">
        <v>33</v>
      </c>
    </row>
    <row r="30" customFormat="false" ht="15" hidden="false" customHeight="false" outlineLevel="0" collapsed="false">
      <c r="A30" s="6" t="s">
        <v>563</v>
      </c>
      <c r="B30" s="6" t="s">
        <v>564</v>
      </c>
      <c r="C30" s="6" t="s">
        <v>565</v>
      </c>
      <c r="D30" s="6" t="s">
        <v>566</v>
      </c>
      <c r="E30" s="6"/>
      <c r="F30" s="6" t="s">
        <v>567</v>
      </c>
      <c r="G30" s="6" t="s">
        <v>568</v>
      </c>
      <c r="H30" s="6" t="s">
        <v>569</v>
      </c>
      <c r="I30" s="6" t="s">
        <v>33</v>
      </c>
    </row>
    <row r="31" customFormat="false" ht="15" hidden="false" customHeight="false" outlineLevel="0" collapsed="false">
      <c r="A31" s="6" t="s">
        <v>570</v>
      </c>
      <c r="B31" s="6" t="s">
        <v>571</v>
      </c>
      <c r="C31" s="6" t="s">
        <v>572</v>
      </c>
      <c r="D31" s="6" t="s">
        <v>573</v>
      </c>
      <c r="E31" s="6"/>
      <c r="F31" s="6"/>
      <c r="G31" s="6"/>
      <c r="H31" s="6" t="s">
        <v>104</v>
      </c>
      <c r="I31" s="6" t="s">
        <v>33</v>
      </c>
    </row>
    <row r="32" customFormat="false" ht="23.85" hidden="false" customHeight="false" outlineLevel="0" collapsed="false">
      <c r="A32" s="6" t="s">
        <v>574</v>
      </c>
      <c r="B32" s="6" t="s">
        <v>575</v>
      </c>
      <c r="C32" s="6" t="s">
        <v>576</v>
      </c>
      <c r="D32" s="6" t="s">
        <v>577</v>
      </c>
      <c r="E32" s="6"/>
      <c r="F32" s="6" t="s">
        <v>578</v>
      </c>
      <c r="G32" s="6" t="s">
        <v>424</v>
      </c>
      <c r="H32" s="6" t="s">
        <v>425</v>
      </c>
      <c r="I32" s="6" t="s">
        <v>33</v>
      </c>
    </row>
    <row r="33" customFormat="false" ht="15" hidden="false" customHeight="false" outlineLevel="0" collapsed="false">
      <c r="A33" s="6" t="s">
        <v>579</v>
      </c>
      <c r="B33" s="6" t="s">
        <v>580</v>
      </c>
      <c r="C33" s="6" t="s">
        <v>581</v>
      </c>
      <c r="D33" s="6" t="s">
        <v>582</v>
      </c>
      <c r="E33" s="6"/>
      <c r="F33" s="6"/>
      <c r="G33" s="6"/>
      <c r="H33" s="6" t="s">
        <v>104</v>
      </c>
      <c r="I33" s="6" t="s">
        <v>33</v>
      </c>
    </row>
    <row r="34" customFormat="false" ht="15" hidden="false" customHeight="false" outlineLevel="0" collapsed="false">
      <c r="A34" s="6" t="s">
        <v>583</v>
      </c>
      <c r="B34" s="6" t="s">
        <v>584</v>
      </c>
      <c r="C34" s="6" t="s">
        <v>585</v>
      </c>
      <c r="D34" s="6" t="s">
        <v>586</v>
      </c>
      <c r="E34" s="6"/>
      <c r="F34" s="6"/>
      <c r="G34" s="6" t="s">
        <v>130</v>
      </c>
      <c r="H34" s="6" t="s">
        <v>104</v>
      </c>
      <c r="I34" s="6" t="s">
        <v>33</v>
      </c>
    </row>
    <row r="35" customFormat="false" ht="23.85" hidden="false" customHeight="false" outlineLevel="0" collapsed="false">
      <c r="A35" s="6" t="s">
        <v>587</v>
      </c>
      <c r="B35" s="6" t="s">
        <v>588</v>
      </c>
      <c r="C35" s="6" t="s">
        <v>589</v>
      </c>
      <c r="D35" s="6" t="s">
        <v>590</v>
      </c>
      <c r="E35" s="6"/>
      <c r="F35" s="6"/>
      <c r="G35" s="6"/>
      <c r="H35" s="6" t="s">
        <v>104</v>
      </c>
      <c r="I35" s="6" t="s">
        <v>33</v>
      </c>
    </row>
    <row r="36" customFormat="false" ht="35.05" hidden="false" customHeight="false" outlineLevel="0" collapsed="false">
      <c r="A36" s="6" t="s">
        <v>591</v>
      </c>
      <c r="B36" s="6" t="s">
        <v>592</v>
      </c>
      <c r="C36" s="6" t="s">
        <v>593</v>
      </c>
      <c r="D36" s="6" t="s">
        <v>594</v>
      </c>
      <c r="E36" s="6"/>
      <c r="F36" s="6" t="s">
        <v>595</v>
      </c>
      <c r="G36" s="6" t="s">
        <v>596</v>
      </c>
      <c r="H36" s="6" t="s">
        <v>597</v>
      </c>
      <c r="I36" s="6" t="s">
        <v>32</v>
      </c>
    </row>
    <row r="37" customFormat="false" ht="23.85" hidden="false" customHeight="false" outlineLevel="0" collapsed="false">
      <c r="A37" s="6" t="s">
        <v>598</v>
      </c>
      <c r="B37" s="6" t="s">
        <v>599</v>
      </c>
      <c r="C37" s="6" t="s">
        <v>600</v>
      </c>
      <c r="D37" s="6"/>
      <c r="E37" s="6" t="s">
        <v>601</v>
      </c>
      <c r="F37" s="6" t="s">
        <v>602</v>
      </c>
      <c r="G37" s="6" t="s">
        <v>596</v>
      </c>
      <c r="H37" s="6" t="s">
        <v>603</v>
      </c>
      <c r="I37" s="6" t="s">
        <v>33</v>
      </c>
    </row>
    <row r="38" customFormat="false" ht="15" hidden="false" customHeight="false" outlineLevel="0" collapsed="false">
      <c r="A38" s="6"/>
      <c r="B38" s="6"/>
      <c r="C38" s="6"/>
      <c r="D38" s="6"/>
      <c r="E38" s="6"/>
      <c r="F38" s="6"/>
      <c r="G38" s="6"/>
      <c r="H38" s="6"/>
      <c r="I38" s="6"/>
    </row>
    <row r="39" customFormat="false" ht="15" hidden="false" customHeight="false" outlineLevel="0" collapsed="false">
      <c r="A39" s="6"/>
      <c r="B39" s="6"/>
      <c r="C39" s="6"/>
      <c r="D39" s="6"/>
      <c r="E39" s="6"/>
      <c r="F39" s="6"/>
      <c r="G39" s="6"/>
      <c r="H39" s="6"/>
      <c r="I39" s="6"/>
    </row>
    <row r="41" customFormat="false" ht="15" hidden="false" customHeight="false" outlineLevel="0" collapsed="false">
      <c r="A41" s="39" t="s">
        <v>604</v>
      </c>
      <c r="B41" s="39"/>
      <c r="C41" s="39"/>
      <c r="D41" s="39"/>
      <c r="E41" s="39"/>
      <c r="F41" s="39"/>
      <c r="G41" s="39"/>
      <c r="H41" s="39"/>
      <c r="I41" s="39"/>
    </row>
    <row r="42" customFormat="false" ht="15" hidden="false" customHeight="false" outlineLevel="0" collapsed="false">
      <c r="A42" s="40" t="s">
        <v>89</v>
      </c>
      <c r="B42" s="40" t="s">
        <v>452</v>
      </c>
      <c r="C42" s="40" t="s">
        <v>453</v>
      </c>
      <c r="D42" s="40" t="s">
        <v>454</v>
      </c>
      <c r="E42" s="40" t="s">
        <v>455</v>
      </c>
      <c r="F42" s="40" t="s">
        <v>240</v>
      </c>
      <c r="G42" s="40" t="s">
        <v>79</v>
      </c>
      <c r="H42" s="40" t="s">
        <v>77</v>
      </c>
      <c r="I42" s="40" t="s">
        <v>75</v>
      </c>
    </row>
    <row r="43" customFormat="false" ht="35.05" hidden="false" customHeight="false" outlineLevel="0" collapsed="false">
      <c r="A43" s="6" t="s">
        <v>605</v>
      </c>
      <c r="B43" s="6" t="s">
        <v>606</v>
      </c>
      <c r="C43" s="6" t="s">
        <v>607</v>
      </c>
      <c r="D43" s="6" t="s">
        <v>608</v>
      </c>
      <c r="E43" s="6"/>
      <c r="F43" s="6"/>
      <c r="G43" s="6" t="s">
        <v>510</v>
      </c>
      <c r="H43" s="6" t="s">
        <v>104</v>
      </c>
      <c r="I43" s="6" t="s">
        <v>33</v>
      </c>
    </row>
    <row r="44" customFormat="false" ht="35.05" hidden="false" customHeight="false" outlineLevel="0" collapsed="false">
      <c r="A44" s="6" t="s">
        <v>609</v>
      </c>
      <c r="B44" s="6" t="s">
        <v>610</v>
      </c>
      <c r="C44" s="6" t="s">
        <v>611</v>
      </c>
      <c r="D44" s="6"/>
      <c r="E44" s="6"/>
      <c r="F44" s="6"/>
      <c r="G44" s="6" t="s">
        <v>216</v>
      </c>
      <c r="H44" s="6" t="s">
        <v>612</v>
      </c>
      <c r="I44" s="6" t="s">
        <v>32</v>
      </c>
    </row>
    <row r="45" customFormat="false" ht="35.05" hidden="false" customHeight="false" outlineLevel="0" collapsed="false">
      <c r="A45" s="6" t="s">
        <v>613</v>
      </c>
      <c r="B45" s="6" t="s">
        <v>614</v>
      </c>
      <c r="C45" s="6" t="s">
        <v>615</v>
      </c>
      <c r="D45" s="6"/>
      <c r="E45" s="6"/>
      <c r="F45" s="6"/>
      <c r="G45" s="6" t="s">
        <v>175</v>
      </c>
      <c r="H45" s="6" t="s">
        <v>104</v>
      </c>
      <c r="I45" s="6" t="s">
        <v>33</v>
      </c>
    </row>
    <row r="46" customFormat="false" ht="15" hidden="false" customHeight="false" outlineLevel="0" collapsed="false">
      <c r="A46" s="6" t="s">
        <v>616</v>
      </c>
      <c r="B46" s="6" t="s">
        <v>494</v>
      </c>
      <c r="C46" s="6" t="s">
        <v>617</v>
      </c>
      <c r="D46" s="6"/>
      <c r="E46" s="6"/>
      <c r="F46" s="6"/>
      <c r="G46" s="6" t="s">
        <v>542</v>
      </c>
      <c r="H46" s="6" t="s">
        <v>496</v>
      </c>
      <c r="I46" s="6" t="s">
        <v>32</v>
      </c>
    </row>
    <row r="47" customFormat="false" ht="35.05" hidden="false" customHeight="false" outlineLevel="0" collapsed="false">
      <c r="A47" s="6" t="s">
        <v>618</v>
      </c>
      <c r="B47" s="6" t="s">
        <v>619</v>
      </c>
      <c r="C47" s="6" t="s">
        <v>620</v>
      </c>
      <c r="D47" s="6"/>
      <c r="E47" s="6"/>
      <c r="F47" s="6"/>
      <c r="G47" s="6" t="s">
        <v>510</v>
      </c>
      <c r="H47" s="6" t="s">
        <v>104</v>
      </c>
      <c r="I47" s="6" t="s">
        <v>33</v>
      </c>
    </row>
    <row r="48" customFormat="false" ht="15" hidden="false" customHeight="false" outlineLevel="0" collapsed="false">
      <c r="A48" s="6" t="s">
        <v>621</v>
      </c>
      <c r="B48" s="6" t="s">
        <v>622</v>
      </c>
      <c r="C48" s="6" t="s">
        <v>623</v>
      </c>
      <c r="D48" s="6"/>
      <c r="E48" s="6"/>
      <c r="F48" s="6"/>
      <c r="G48" s="6" t="s">
        <v>200</v>
      </c>
      <c r="H48" s="6" t="s">
        <v>259</v>
      </c>
      <c r="I48" s="6" t="s">
        <v>32</v>
      </c>
    </row>
    <row r="49" customFormat="false" ht="23.85" hidden="false" customHeight="false" outlineLevel="0" collapsed="false">
      <c r="A49" s="6" t="s">
        <v>624</v>
      </c>
      <c r="B49" s="6" t="s">
        <v>625</v>
      </c>
      <c r="C49" s="6" t="s">
        <v>626</v>
      </c>
      <c r="D49" s="6"/>
      <c r="E49" s="6"/>
      <c r="F49" s="6"/>
      <c r="G49" s="6"/>
      <c r="H49" s="6" t="s">
        <v>104</v>
      </c>
      <c r="I49" s="6" t="s">
        <v>33</v>
      </c>
    </row>
    <row r="50" customFormat="false" ht="23.85" hidden="false" customHeight="false" outlineLevel="0" collapsed="false">
      <c r="A50" s="6" t="s">
        <v>627</v>
      </c>
      <c r="B50" s="6" t="s">
        <v>628</v>
      </c>
      <c r="C50" s="6" t="s">
        <v>629</v>
      </c>
      <c r="D50" s="6"/>
      <c r="E50" s="6"/>
      <c r="F50" s="6"/>
      <c r="G50" s="6"/>
      <c r="H50" s="6" t="s">
        <v>104</v>
      </c>
      <c r="I50" s="6" t="s">
        <v>33</v>
      </c>
    </row>
    <row r="51" customFormat="false" ht="15" hidden="false" customHeight="false" outlineLevel="0" collapsed="false">
      <c r="A51" s="6"/>
      <c r="B51" s="6"/>
      <c r="C51" s="6"/>
      <c r="D51" s="6"/>
      <c r="E51" s="6"/>
      <c r="F51" s="6"/>
      <c r="G51" s="6"/>
      <c r="H51" s="6"/>
      <c r="I51" s="6"/>
    </row>
    <row r="52" customFormat="false" ht="15" hidden="false" customHeight="false" outlineLevel="0" collapsed="false">
      <c r="A52" s="6"/>
      <c r="B52" s="6"/>
      <c r="C52" s="6"/>
      <c r="D52" s="6"/>
      <c r="E52" s="6"/>
      <c r="F52" s="6"/>
      <c r="G52" s="6"/>
      <c r="H52" s="6"/>
      <c r="I52" s="6"/>
    </row>
  </sheetData>
  <autoFilter ref="A15:I19"/>
  <mergeCells count="19">
    <mergeCell ref="A5:B5"/>
    <mergeCell ref="C5:H5"/>
    <mergeCell ref="A6:B6"/>
    <mergeCell ref="C6:H6"/>
    <mergeCell ref="A7:B7"/>
    <mergeCell ref="C7:H7"/>
    <mergeCell ref="A8:B8"/>
    <mergeCell ref="C8:H8"/>
    <mergeCell ref="A9:B9"/>
    <mergeCell ref="C9:H9"/>
    <mergeCell ref="A10:B10"/>
    <mergeCell ref="C10:H10"/>
    <mergeCell ref="A11:B11"/>
    <mergeCell ref="C11:H11"/>
    <mergeCell ref="A13:I13"/>
    <mergeCell ref="A14:I14"/>
    <mergeCell ref="A21:I21"/>
    <mergeCell ref="A22:I22"/>
    <mergeCell ref="A41:I41"/>
  </mergeCells>
  <conditionalFormatting sqref="I16:I19">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I24:I39">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I43:I52">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I16:I19 I24:I39 I43:I52"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8D90"/>
    <pageSetUpPr fitToPage="true"/>
  </sheetPr>
  <dimension ref="A1: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8"/>
    <col collapsed="false" customWidth="true" hidden="false" outlineLevel="0" max="4" min="4" style="0" width="36"/>
    <col collapsed="false" customWidth="true" hidden="false" outlineLevel="0" max="5" min="5" style="0" width="28"/>
    <col collapsed="false" customWidth="true" hidden="false" outlineLevel="0" max="6" min="6" style="0" width="16"/>
    <col collapsed="false" customWidth="true" hidden="false" outlineLevel="0" max="7" min="7" style="0" width="1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630</v>
      </c>
    </row>
    <row r="2" customFormat="false" ht="15" hidden="false" customHeight="false" outlineLevel="0" collapsed="false">
      <c r="A2" s="2" t="s">
        <v>631</v>
      </c>
    </row>
    <row r="3" customFormat="false" ht="15" hidden="false" customHeight="false" outlineLevel="0" collapsed="false">
      <c r="A3" s="3" t="str">
        <f aca="false">HYPERLINK("#'0 Index'!A1","↩ Index")</f>
        <v>↩ Index</v>
      </c>
    </row>
    <row r="5" customFormat="false" ht="15" hidden="false" customHeight="true" outlineLevel="0" collapsed="false">
      <c r="A5" s="37" t="s">
        <v>323</v>
      </c>
      <c r="B5" s="37"/>
      <c r="C5" s="6" t="s">
        <v>632</v>
      </c>
      <c r="D5" s="6"/>
      <c r="E5" s="6"/>
      <c r="F5" s="6"/>
      <c r="G5" s="6"/>
      <c r="H5" s="6"/>
      <c r="I5" s="7" t="s">
        <v>222</v>
      </c>
    </row>
    <row r="6" customFormat="false" ht="15" hidden="false" customHeight="true" outlineLevel="0" collapsed="false">
      <c r="A6" s="37" t="s">
        <v>326</v>
      </c>
      <c r="B6" s="37"/>
      <c r="C6" s="38" t="s">
        <v>633</v>
      </c>
      <c r="D6" s="38"/>
      <c r="E6" s="38"/>
      <c r="F6" s="38"/>
      <c r="G6" s="38"/>
      <c r="H6" s="38"/>
      <c r="I6" s="7" t="s">
        <v>328</v>
      </c>
    </row>
    <row r="7" customFormat="false" ht="15" hidden="false" customHeight="true" outlineLevel="0" collapsed="false">
      <c r="A7" s="37" t="s">
        <v>335</v>
      </c>
      <c r="B7" s="37"/>
      <c r="C7" s="6" t="s">
        <v>634</v>
      </c>
      <c r="D7" s="6"/>
      <c r="E7" s="6"/>
      <c r="F7" s="6"/>
      <c r="G7" s="6"/>
      <c r="H7" s="6"/>
      <c r="I7" s="7" t="s">
        <v>334</v>
      </c>
    </row>
    <row r="8" customFormat="false" ht="19.4" hidden="false" customHeight="true" outlineLevel="0" collapsed="false">
      <c r="A8" s="37" t="s">
        <v>332</v>
      </c>
      <c r="B8" s="37"/>
      <c r="C8" s="6" t="s">
        <v>488</v>
      </c>
      <c r="D8" s="6"/>
      <c r="E8" s="6"/>
      <c r="F8" s="6"/>
      <c r="G8" s="6"/>
      <c r="H8" s="6"/>
      <c r="I8" s="7" t="s">
        <v>331</v>
      </c>
    </row>
    <row r="9" customFormat="false" ht="15" hidden="false" customHeight="true" outlineLevel="0" collapsed="false">
      <c r="A9" s="37" t="s">
        <v>489</v>
      </c>
      <c r="B9" s="37"/>
      <c r="C9" s="6" t="s">
        <v>635</v>
      </c>
      <c r="D9" s="6"/>
      <c r="E9" s="6"/>
      <c r="F9" s="6"/>
      <c r="G9" s="6"/>
      <c r="H9" s="6"/>
      <c r="I9" s="7" t="s">
        <v>482</v>
      </c>
    </row>
    <row r="10" customFormat="false" ht="19.4" hidden="false" customHeight="true" outlineLevel="0" collapsed="false">
      <c r="A10" s="37" t="s">
        <v>636</v>
      </c>
      <c r="B10" s="37"/>
      <c r="C10" s="6" t="s">
        <v>637</v>
      </c>
      <c r="D10" s="6"/>
      <c r="E10" s="6"/>
      <c r="F10" s="6"/>
      <c r="G10" s="6"/>
      <c r="H10" s="6"/>
      <c r="I10" s="7" t="s">
        <v>331</v>
      </c>
    </row>
    <row r="12" customFormat="false" ht="15" hidden="false" customHeight="false" outlineLevel="0" collapsed="false">
      <c r="A12" s="39" t="s">
        <v>638</v>
      </c>
      <c r="B12" s="39"/>
      <c r="C12" s="39"/>
      <c r="D12" s="39"/>
      <c r="E12" s="39"/>
      <c r="F12" s="39"/>
      <c r="G12" s="39"/>
      <c r="H12" s="39"/>
      <c r="I12" s="39"/>
    </row>
    <row r="13" customFormat="false" ht="15" hidden="false" customHeight="true" outlineLevel="0" collapsed="false">
      <c r="A13" s="8" t="s">
        <v>639</v>
      </c>
      <c r="B13" s="8"/>
      <c r="C13" s="8"/>
      <c r="D13" s="8"/>
      <c r="E13" s="8"/>
      <c r="F13" s="8"/>
      <c r="G13" s="8"/>
      <c r="H13" s="8"/>
      <c r="I13" s="8"/>
    </row>
    <row r="14" customFormat="false" ht="23.85" hidden="false" customHeight="false" outlineLevel="0" collapsed="false">
      <c r="A14" s="40" t="s">
        <v>89</v>
      </c>
      <c r="B14" s="40" t="s">
        <v>640</v>
      </c>
      <c r="C14" s="40" t="s">
        <v>641</v>
      </c>
      <c r="D14" s="40" t="s">
        <v>642</v>
      </c>
      <c r="E14" s="40" t="s">
        <v>643</v>
      </c>
      <c r="F14" s="40" t="s">
        <v>644</v>
      </c>
      <c r="G14" s="40" t="s">
        <v>79</v>
      </c>
      <c r="H14" s="40" t="s">
        <v>77</v>
      </c>
      <c r="I14" s="40" t="s">
        <v>75</v>
      </c>
    </row>
    <row r="15" customFormat="false" ht="15" hidden="false" customHeight="false" outlineLevel="0" collapsed="false">
      <c r="A15" s="6" t="s">
        <v>645</v>
      </c>
      <c r="B15" s="6" t="s">
        <v>646</v>
      </c>
      <c r="C15" s="6" t="s">
        <v>647</v>
      </c>
      <c r="D15" s="6" t="s">
        <v>648</v>
      </c>
      <c r="E15" s="38" t="s">
        <v>649</v>
      </c>
      <c r="F15" s="6" t="s">
        <v>650</v>
      </c>
      <c r="G15" s="6"/>
      <c r="H15" s="6" t="s">
        <v>651</v>
      </c>
      <c r="I15" s="6" t="s">
        <v>34</v>
      </c>
    </row>
    <row r="16" customFormat="false" ht="15" hidden="false" customHeight="false" outlineLevel="0" collapsed="false">
      <c r="A16" s="6" t="s">
        <v>652</v>
      </c>
      <c r="B16" s="6" t="s">
        <v>653</v>
      </c>
      <c r="C16" s="6" t="s">
        <v>654</v>
      </c>
      <c r="D16" s="6" t="s">
        <v>655</v>
      </c>
      <c r="E16" s="38" t="s">
        <v>649</v>
      </c>
      <c r="F16" s="6" t="s">
        <v>650</v>
      </c>
      <c r="G16" s="6" t="s">
        <v>175</v>
      </c>
      <c r="H16" s="6" t="s">
        <v>176</v>
      </c>
      <c r="I16" s="6" t="s">
        <v>34</v>
      </c>
    </row>
    <row r="17" customFormat="false" ht="23.85" hidden="false" customHeight="false" outlineLevel="0" collapsed="false">
      <c r="A17" s="6" t="s">
        <v>656</v>
      </c>
      <c r="B17" s="6" t="s">
        <v>657</v>
      </c>
      <c r="C17" s="6" t="s">
        <v>658</v>
      </c>
      <c r="D17" s="6" t="s">
        <v>659</v>
      </c>
      <c r="E17" s="38" t="s">
        <v>649</v>
      </c>
      <c r="F17" s="6" t="s">
        <v>660</v>
      </c>
      <c r="G17" s="6" t="s">
        <v>175</v>
      </c>
      <c r="H17" s="6" t="s">
        <v>176</v>
      </c>
      <c r="I17" s="6" t="s">
        <v>34</v>
      </c>
    </row>
    <row r="18" customFormat="false" ht="23.85" hidden="false" customHeight="false" outlineLevel="0" collapsed="false">
      <c r="A18" s="6" t="s">
        <v>661</v>
      </c>
      <c r="B18" s="6" t="s">
        <v>662</v>
      </c>
      <c r="C18" s="6" t="s">
        <v>663</v>
      </c>
      <c r="D18" s="6" t="s">
        <v>664</v>
      </c>
      <c r="E18" s="38" t="s">
        <v>649</v>
      </c>
      <c r="F18" s="6" t="s">
        <v>665</v>
      </c>
      <c r="G18" s="6" t="s">
        <v>116</v>
      </c>
      <c r="H18" s="6" t="s">
        <v>104</v>
      </c>
      <c r="I18" s="6" t="s">
        <v>33</v>
      </c>
    </row>
    <row r="19" customFormat="false" ht="23.85" hidden="false" customHeight="false" outlineLevel="0" collapsed="false">
      <c r="A19" s="6" t="s">
        <v>666</v>
      </c>
      <c r="B19" s="6" t="s">
        <v>667</v>
      </c>
      <c r="C19" s="6" t="s">
        <v>668</v>
      </c>
      <c r="D19" s="6" t="s">
        <v>669</v>
      </c>
      <c r="E19" s="38" t="s">
        <v>649</v>
      </c>
      <c r="F19" s="6" t="s">
        <v>670</v>
      </c>
      <c r="G19" s="6" t="s">
        <v>116</v>
      </c>
      <c r="H19" s="6" t="s">
        <v>671</v>
      </c>
      <c r="I19" s="6" t="s">
        <v>34</v>
      </c>
    </row>
    <row r="20" customFormat="false" ht="23.85" hidden="false" customHeight="false" outlineLevel="0" collapsed="false">
      <c r="A20" s="6" t="s">
        <v>672</v>
      </c>
      <c r="B20" s="6" t="s">
        <v>673</v>
      </c>
      <c r="C20" s="6" t="s">
        <v>674</v>
      </c>
      <c r="D20" s="6" t="s">
        <v>675</v>
      </c>
      <c r="E20" s="38" t="s">
        <v>649</v>
      </c>
      <c r="F20" s="6" t="s">
        <v>676</v>
      </c>
      <c r="G20" s="6" t="s">
        <v>116</v>
      </c>
      <c r="H20" s="6" t="s">
        <v>677</v>
      </c>
      <c r="I20" s="6" t="s">
        <v>34</v>
      </c>
    </row>
    <row r="21" customFormat="false" ht="23.85" hidden="false" customHeight="false" outlineLevel="0" collapsed="false">
      <c r="A21" s="6" t="s">
        <v>678</v>
      </c>
      <c r="B21" s="6" t="s">
        <v>679</v>
      </c>
      <c r="C21" s="6" t="s">
        <v>680</v>
      </c>
      <c r="D21" s="6" t="s">
        <v>681</v>
      </c>
      <c r="E21" s="38" t="s">
        <v>649</v>
      </c>
      <c r="F21" s="6" t="s">
        <v>650</v>
      </c>
      <c r="G21" s="6" t="s">
        <v>406</v>
      </c>
      <c r="H21" s="6" t="s">
        <v>682</v>
      </c>
      <c r="I21" s="6" t="s">
        <v>34</v>
      </c>
    </row>
    <row r="22" customFormat="false" ht="15" hidden="false" customHeight="false" outlineLevel="0" collapsed="false">
      <c r="A22" s="6" t="s">
        <v>683</v>
      </c>
      <c r="B22" s="6" t="s">
        <v>684</v>
      </c>
      <c r="C22" s="6" t="s">
        <v>685</v>
      </c>
      <c r="D22" s="6" t="s">
        <v>686</v>
      </c>
      <c r="E22" s="38" t="s">
        <v>649</v>
      </c>
      <c r="F22" s="6" t="s">
        <v>650</v>
      </c>
      <c r="G22" s="6" t="s">
        <v>406</v>
      </c>
      <c r="H22" s="6" t="s">
        <v>687</v>
      </c>
      <c r="I22" s="6" t="s">
        <v>34</v>
      </c>
    </row>
    <row r="23" customFormat="false" ht="15" hidden="false" customHeight="false" outlineLevel="0" collapsed="false">
      <c r="A23" s="6" t="s">
        <v>688</v>
      </c>
      <c r="B23" s="6" t="s">
        <v>689</v>
      </c>
      <c r="C23" s="6" t="s">
        <v>690</v>
      </c>
      <c r="D23" s="6" t="s">
        <v>691</v>
      </c>
      <c r="E23" s="38" t="s">
        <v>649</v>
      </c>
      <c r="F23" s="6" t="s">
        <v>650</v>
      </c>
      <c r="G23" s="6"/>
      <c r="H23" s="6" t="s">
        <v>196</v>
      </c>
      <c r="I23" s="6" t="s">
        <v>34</v>
      </c>
    </row>
    <row r="24" customFormat="false" ht="15" hidden="false" customHeight="false" outlineLevel="0" collapsed="false">
      <c r="A24" s="6" t="s">
        <v>692</v>
      </c>
      <c r="B24" s="6" t="s">
        <v>693</v>
      </c>
      <c r="C24" s="6" t="s">
        <v>694</v>
      </c>
      <c r="D24" s="6" t="s">
        <v>695</v>
      </c>
      <c r="E24" s="38" t="s">
        <v>649</v>
      </c>
      <c r="F24" s="6" t="s">
        <v>650</v>
      </c>
      <c r="G24" s="6" t="s">
        <v>424</v>
      </c>
      <c r="H24" s="6" t="s">
        <v>425</v>
      </c>
      <c r="I24" s="6" t="s">
        <v>34</v>
      </c>
    </row>
    <row r="25" customFormat="false" ht="23.85" hidden="false" customHeight="false" outlineLevel="0" collapsed="false">
      <c r="A25" s="6" t="s">
        <v>696</v>
      </c>
      <c r="B25" s="6" t="s">
        <v>697</v>
      </c>
      <c r="C25" s="6" t="s">
        <v>698</v>
      </c>
      <c r="D25" s="6" t="s">
        <v>699</v>
      </c>
      <c r="E25" s="38" t="s">
        <v>649</v>
      </c>
      <c r="F25" s="6" t="s">
        <v>670</v>
      </c>
      <c r="G25" s="6" t="s">
        <v>130</v>
      </c>
      <c r="H25" s="6" t="s">
        <v>364</v>
      </c>
      <c r="I25" s="6" t="s">
        <v>34</v>
      </c>
    </row>
    <row r="26" customFormat="false" ht="23.85" hidden="false" customHeight="false" outlineLevel="0" collapsed="false">
      <c r="A26" s="6" t="s">
        <v>700</v>
      </c>
      <c r="B26" s="6" t="s">
        <v>701</v>
      </c>
      <c r="C26" s="6" t="s">
        <v>702</v>
      </c>
      <c r="D26" s="6" t="s">
        <v>703</v>
      </c>
      <c r="E26" s="38" t="s">
        <v>649</v>
      </c>
      <c r="F26" s="6" t="s">
        <v>704</v>
      </c>
      <c r="G26" s="6" t="s">
        <v>705</v>
      </c>
      <c r="H26" s="6" t="s">
        <v>706</v>
      </c>
      <c r="I26" s="6" t="s">
        <v>34</v>
      </c>
    </row>
    <row r="27" customFormat="false" ht="23.85" hidden="false" customHeight="false" outlineLevel="0" collapsed="false">
      <c r="A27" s="6" t="s">
        <v>707</v>
      </c>
      <c r="B27" s="6" t="s">
        <v>708</v>
      </c>
      <c r="C27" s="6" t="s">
        <v>709</v>
      </c>
      <c r="D27" s="6" t="s">
        <v>710</v>
      </c>
      <c r="E27" s="38" t="s">
        <v>649</v>
      </c>
      <c r="F27" s="6" t="s">
        <v>711</v>
      </c>
      <c r="G27" s="6" t="s">
        <v>297</v>
      </c>
      <c r="H27" s="6" t="s">
        <v>298</v>
      </c>
      <c r="I27" s="6" t="s">
        <v>32</v>
      </c>
    </row>
    <row r="28" customFormat="false" ht="23.85" hidden="false" customHeight="false" outlineLevel="0" collapsed="false">
      <c r="A28" s="6" t="s">
        <v>712</v>
      </c>
      <c r="B28" s="6" t="s">
        <v>713</v>
      </c>
      <c r="C28" s="6" t="s">
        <v>714</v>
      </c>
      <c r="D28" s="6" t="s">
        <v>715</v>
      </c>
      <c r="E28" s="38" t="s">
        <v>649</v>
      </c>
      <c r="F28" s="6" t="s">
        <v>716</v>
      </c>
      <c r="G28" s="6" t="s">
        <v>237</v>
      </c>
      <c r="H28" s="6" t="s">
        <v>238</v>
      </c>
      <c r="I28" s="6" t="s">
        <v>34</v>
      </c>
    </row>
    <row r="29" customFormat="false" ht="23.85" hidden="false" customHeight="false" outlineLevel="0" collapsed="false">
      <c r="A29" s="6" t="s">
        <v>717</v>
      </c>
      <c r="B29" s="6" t="s">
        <v>718</v>
      </c>
      <c r="C29" s="6" t="s">
        <v>719</v>
      </c>
      <c r="D29" s="6" t="s">
        <v>720</v>
      </c>
      <c r="E29" s="38" t="s">
        <v>649</v>
      </c>
      <c r="F29" s="6" t="s">
        <v>721</v>
      </c>
      <c r="G29" s="6" t="s">
        <v>311</v>
      </c>
      <c r="H29" s="6" t="s">
        <v>722</v>
      </c>
      <c r="I29" s="6" t="s">
        <v>32</v>
      </c>
    </row>
    <row r="30" customFormat="false" ht="23.85" hidden="false" customHeight="false" outlineLevel="0" collapsed="false">
      <c r="A30" s="6" t="s">
        <v>723</v>
      </c>
      <c r="B30" s="6" t="s">
        <v>724</v>
      </c>
      <c r="C30" s="6" t="s">
        <v>725</v>
      </c>
      <c r="D30" s="6" t="s">
        <v>726</v>
      </c>
      <c r="E30" s="38" t="s">
        <v>649</v>
      </c>
      <c r="F30" s="6" t="s">
        <v>670</v>
      </c>
      <c r="G30" s="6" t="s">
        <v>140</v>
      </c>
      <c r="H30" s="6" t="s">
        <v>727</v>
      </c>
      <c r="I30" s="6" t="s">
        <v>32</v>
      </c>
    </row>
    <row r="31" customFormat="false" ht="23.85" hidden="false" customHeight="false" outlineLevel="0" collapsed="false">
      <c r="A31" s="6" t="s">
        <v>728</v>
      </c>
      <c r="B31" s="6" t="s">
        <v>729</v>
      </c>
      <c r="C31" s="6" t="s">
        <v>730</v>
      </c>
      <c r="D31" s="6" t="s">
        <v>731</v>
      </c>
      <c r="E31" s="38" t="s">
        <v>649</v>
      </c>
      <c r="F31" s="6" t="s">
        <v>732</v>
      </c>
      <c r="G31" s="6" t="s">
        <v>191</v>
      </c>
      <c r="H31" s="6" t="s">
        <v>733</v>
      </c>
      <c r="I31" s="6" t="s">
        <v>33</v>
      </c>
    </row>
    <row r="32" customFormat="false" ht="23.85" hidden="false" customHeight="false" outlineLevel="0" collapsed="false">
      <c r="A32" s="6" t="s">
        <v>734</v>
      </c>
      <c r="B32" s="6" t="s">
        <v>735</v>
      </c>
      <c r="C32" s="6" t="s">
        <v>736</v>
      </c>
      <c r="D32" s="6" t="s">
        <v>737</v>
      </c>
      <c r="E32" s="38" t="s">
        <v>649</v>
      </c>
      <c r="F32" s="6" t="s">
        <v>670</v>
      </c>
      <c r="G32" s="6" t="s">
        <v>191</v>
      </c>
      <c r="H32" s="6" t="s">
        <v>738</v>
      </c>
      <c r="I32" s="6" t="s">
        <v>32</v>
      </c>
    </row>
    <row r="33" customFormat="false" ht="15" hidden="false" customHeight="false" outlineLevel="0" collapsed="false">
      <c r="A33" s="6"/>
      <c r="B33" s="6"/>
      <c r="C33" s="6"/>
      <c r="D33" s="6"/>
      <c r="E33" s="6"/>
      <c r="F33" s="6"/>
      <c r="G33" s="6"/>
      <c r="H33" s="6"/>
      <c r="I33" s="6"/>
    </row>
    <row r="34" customFormat="false" ht="15" hidden="false" customHeight="false" outlineLevel="0" collapsed="false">
      <c r="A34" s="6"/>
      <c r="B34" s="6"/>
      <c r="C34" s="6"/>
      <c r="D34" s="6"/>
      <c r="E34" s="6"/>
      <c r="F34" s="6"/>
      <c r="G34" s="6"/>
      <c r="H34" s="6"/>
      <c r="I34" s="6"/>
    </row>
    <row r="36" customFormat="false" ht="15" hidden="false" customHeight="false" outlineLevel="0" collapsed="false">
      <c r="A36" s="39" t="s">
        <v>739</v>
      </c>
      <c r="B36" s="39"/>
      <c r="C36" s="39"/>
      <c r="D36" s="39"/>
      <c r="E36" s="39"/>
      <c r="F36" s="39"/>
      <c r="G36" s="39"/>
      <c r="H36" s="39"/>
      <c r="I36" s="39"/>
    </row>
    <row r="37" customFormat="false" ht="15" hidden="false" customHeight="false" outlineLevel="0" collapsed="false">
      <c r="A37" s="40" t="s">
        <v>89</v>
      </c>
      <c r="B37" s="40" t="s">
        <v>452</v>
      </c>
      <c r="C37" s="40" t="s">
        <v>453</v>
      </c>
      <c r="D37" s="40" t="s">
        <v>454</v>
      </c>
      <c r="E37" s="40" t="s">
        <v>455</v>
      </c>
      <c r="F37" s="40" t="s">
        <v>240</v>
      </c>
      <c r="G37" s="40" t="s">
        <v>79</v>
      </c>
      <c r="H37" s="40" t="s">
        <v>77</v>
      </c>
      <c r="I37" s="40" t="s">
        <v>75</v>
      </c>
    </row>
    <row r="38" customFormat="false" ht="35.05" hidden="false" customHeight="false" outlineLevel="0" collapsed="false">
      <c r="A38" s="6" t="s">
        <v>740</v>
      </c>
      <c r="B38" s="6" t="s">
        <v>741</v>
      </c>
      <c r="C38" s="6" t="s">
        <v>742</v>
      </c>
      <c r="D38" s="6"/>
      <c r="E38" s="6"/>
      <c r="F38" s="6"/>
      <c r="G38" s="6"/>
      <c r="H38" s="6" t="s">
        <v>104</v>
      </c>
      <c r="I38" s="6" t="s">
        <v>33</v>
      </c>
    </row>
    <row r="39" customFormat="false" ht="23.85" hidden="false" customHeight="false" outlineLevel="0" collapsed="false">
      <c r="A39" s="6" t="s">
        <v>743</v>
      </c>
      <c r="B39" s="6" t="s">
        <v>744</v>
      </c>
      <c r="C39" s="6" t="s">
        <v>745</v>
      </c>
      <c r="D39" s="6"/>
      <c r="E39" s="6"/>
      <c r="F39" s="6"/>
      <c r="G39" s="6" t="s">
        <v>200</v>
      </c>
      <c r="H39" s="6" t="s">
        <v>104</v>
      </c>
      <c r="I39" s="6" t="s">
        <v>33</v>
      </c>
    </row>
    <row r="40" customFormat="false" ht="23.85" hidden="false" customHeight="false" outlineLevel="0" collapsed="false">
      <c r="A40" s="6" t="s">
        <v>746</v>
      </c>
      <c r="B40" s="6" t="s">
        <v>747</v>
      </c>
      <c r="C40" s="6" t="s">
        <v>748</v>
      </c>
      <c r="D40" s="6"/>
      <c r="E40" s="6"/>
      <c r="F40" s="6"/>
      <c r="G40" s="6"/>
      <c r="H40" s="6" t="s">
        <v>482</v>
      </c>
      <c r="I40" s="6" t="s">
        <v>32</v>
      </c>
    </row>
    <row r="41" customFormat="false" ht="35.05" hidden="false" customHeight="false" outlineLevel="0" collapsed="false">
      <c r="A41" s="6" t="s">
        <v>749</v>
      </c>
      <c r="B41" s="6" t="s">
        <v>750</v>
      </c>
      <c r="C41" s="6" t="s">
        <v>751</v>
      </c>
      <c r="D41" s="6"/>
      <c r="E41" s="6"/>
      <c r="F41" s="6"/>
      <c r="G41" s="6" t="s">
        <v>99</v>
      </c>
      <c r="H41" s="6" t="s">
        <v>752</v>
      </c>
      <c r="I41" s="6" t="s">
        <v>33</v>
      </c>
    </row>
    <row r="42" customFormat="false" ht="15" hidden="false" customHeight="false" outlineLevel="0" collapsed="false">
      <c r="A42" s="6"/>
      <c r="B42" s="6"/>
      <c r="C42" s="6"/>
      <c r="D42" s="6"/>
      <c r="E42" s="6"/>
      <c r="F42" s="6"/>
      <c r="G42" s="6"/>
      <c r="H42" s="6"/>
      <c r="I42" s="6"/>
    </row>
    <row r="43" customFormat="false" ht="15" hidden="false" customHeight="false" outlineLevel="0" collapsed="false">
      <c r="A43" s="6"/>
      <c r="B43" s="6"/>
      <c r="C43" s="6"/>
      <c r="D43" s="6"/>
      <c r="E43" s="6"/>
      <c r="F43" s="6"/>
      <c r="G43" s="6"/>
      <c r="H43" s="6"/>
      <c r="I43" s="6"/>
    </row>
  </sheetData>
  <autoFilter ref="A14:I34"/>
  <mergeCells count="15">
    <mergeCell ref="A5:B5"/>
    <mergeCell ref="C5:H5"/>
    <mergeCell ref="A6:B6"/>
    <mergeCell ref="C6:H6"/>
    <mergeCell ref="A7:B7"/>
    <mergeCell ref="C7:H7"/>
    <mergeCell ref="A8:B8"/>
    <mergeCell ref="C8:H8"/>
    <mergeCell ref="A9:B9"/>
    <mergeCell ref="C9:H9"/>
    <mergeCell ref="A10:B10"/>
    <mergeCell ref="C10:H10"/>
    <mergeCell ref="A12:I12"/>
    <mergeCell ref="A13:I13"/>
    <mergeCell ref="A36:I36"/>
  </mergeCells>
  <conditionalFormatting sqref="I15:I34">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I38:I43">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I15:I34 I38:I43"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8D90"/>
    <pageSetUpPr fitToPage="tru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40"/>
    <col collapsed="false" customWidth="true" hidden="false" outlineLevel="0" max="5" min="4" style="0" width="22"/>
    <col collapsed="false" customWidth="true" hidden="false" outlineLevel="0" max="6" min="6" style="0" width="20"/>
    <col collapsed="false" customWidth="true" hidden="false" outlineLevel="0" max="7" min="7" style="0" width="1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753</v>
      </c>
    </row>
    <row r="2" customFormat="false" ht="15" hidden="false" customHeight="false" outlineLevel="0" collapsed="false">
      <c r="A2" s="2" t="s">
        <v>754</v>
      </c>
    </row>
    <row r="3" customFormat="false" ht="15" hidden="false" customHeight="false" outlineLevel="0" collapsed="false">
      <c r="A3" s="3" t="str">
        <f aca="false">HYPERLINK("#'0 Index'!A1","↩ Index")</f>
        <v>↩ Index</v>
      </c>
    </row>
    <row r="5" customFormat="false" ht="15" hidden="false" customHeight="true" outlineLevel="0" collapsed="false">
      <c r="A5" s="37" t="s">
        <v>323</v>
      </c>
      <c r="B5" s="37"/>
      <c r="C5" s="6" t="s">
        <v>755</v>
      </c>
      <c r="D5" s="6"/>
      <c r="E5" s="6"/>
      <c r="F5" s="6"/>
      <c r="G5" s="6"/>
      <c r="H5" s="6"/>
      <c r="I5" s="7" t="s">
        <v>227</v>
      </c>
    </row>
    <row r="6" customFormat="false" ht="15" hidden="false" customHeight="true" outlineLevel="0" collapsed="false">
      <c r="A6" s="37" t="s">
        <v>326</v>
      </c>
      <c r="B6" s="37"/>
      <c r="C6" s="38" t="s">
        <v>756</v>
      </c>
      <c r="D6" s="38"/>
      <c r="E6" s="38"/>
      <c r="F6" s="38"/>
      <c r="G6" s="38"/>
      <c r="H6" s="38"/>
      <c r="I6" s="7" t="s">
        <v>328</v>
      </c>
    </row>
    <row r="7" customFormat="false" ht="15" hidden="false" customHeight="true" outlineLevel="0" collapsed="false">
      <c r="A7" s="37" t="s">
        <v>335</v>
      </c>
      <c r="B7" s="37"/>
      <c r="C7" s="6" t="s">
        <v>281</v>
      </c>
      <c r="D7" s="6"/>
      <c r="E7" s="6"/>
      <c r="F7" s="6"/>
      <c r="G7" s="6"/>
      <c r="H7" s="6"/>
      <c r="I7" s="7" t="s">
        <v>334</v>
      </c>
    </row>
    <row r="8" customFormat="false" ht="19.4" hidden="false" customHeight="true" outlineLevel="0" collapsed="false">
      <c r="A8" s="37" t="s">
        <v>332</v>
      </c>
      <c r="B8" s="37"/>
      <c r="C8" s="6" t="s">
        <v>488</v>
      </c>
      <c r="D8" s="6"/>
      <c r="E8" s="6"/>
      <c r="F8" s="6"/>
      <c r="G8" s="6"/>
      <c r="H8" s="6"/>
      <c r="I8" s="7" t="s">
        <v>331</v>
      </c>
    </row>
    <row r="9" customFormat="false" ht="15" hidden="false" customHeight="true" outlineLevel="0" collapsed="false">
      <c r="A9" s="37" t="s">
        <v>489</v>
      </c>
      <c r="B9" s="37"/>
      <c r="C9" s="6" t="s">
        <v>757</v>
      </c>
      <c r="D9" s="6"/>
      <c r="E9" s="6"/>
      <c r="F9" s="6"/>
      <c r="G9" s="6"/>
      <c r="H9" s="6"/>
      <c r="I9" s="7" t="s">
        <v>482</v>
      </c>
    </row>
    <row r="11" customFormat="false" ht="15" hidden="false" customHeight="false" outlineLevel="0" collapsed="false">
      <c r="A11" s="39" t="s">
        <v>758</v>
      </c>
      <c r="B11" s="39"/>
      <c r="C11" s="39"/>
      <c r="D11" s="39"/>
      <c r="E11" s="39"/>
      <c r="F11" s="39"/>
      <c r="G11" s="39"/>
      <c r="H11" s="39"/>
      <c r="I11" s="39"/>
    </row>
    <row r="12" customFormat="false" ht="15" hidden="false" customHeight="false" outlineLevel="0" collapsed="false">
      <c r="A12" s="40" t="s">
        <v>89</v>
      </c>
      <c r="B12" s="40" t="s">
        <v>759</v>
      </c>
      <c r="C12" s="40" t="s">
        <v>760</v>
      </c>
      <c r="D12" s="40" t="s">
        <v>761</v>
      </c>
      <c r="E12" s="40" t="s">
        <v>762</v>
      </c>
      <c r="F12" s="40" t="s">
        <v>240</v>
      </c>
      <c r="G12" s="40" t="s">
        <v>79</v>
      </c>
      <c r="H12" s="40" t="s">
        <v>77</v>
      </c>
      <c r="I12" s="40" t="s">
        <v>75</v>
      </c>
    </row>
    <row r="13" customFormat="false" ht="23.85" hidden="false" customHeight="false" outlineLevel="0" collapsed="false">
      <c r="A13" s="6" t="s">
        <v>763</v>
      </c>
      <c r="B13" s="6" t="s">
        <v>764</v>
      </c>
      <c r="C13" s="6" t="s">
        <v>765</v>
      </c>
      <c r="D13" s="6" t="s">
        <v>281</v>
      </c>
      <c r="E13" s="6" t="s">
        <v>766</v>
      </c>
      <c r="F13" s="6"/>
      <c r="G13" s="6" t="s">
        <v>705</v>
      </c>
      <c r="H13" s="6" t="s">
        <v>767</v>
      </c>
      <c r="I13" s="6" t="s">
        <v>32</v>
      </c>
    </row>
    <row r="14" customFormat="false" ht="35.05" hidden="false" customHeight="false" outlineLevel="0" collapsed="false">
      <c r="A14" s="6" t="s">
        <v>768</v>
      </c>
      <c r="B14" s="6" t="s">
        <v>769</v>
      </c>
      <c r="C14" s="6" t="s">
        <v>770</v>
      </c>
      <c r="D14" s="6" t="s">
        <v>281</v>
      </c>
      <c r="E14" s="6" t="s">
        <v>771</v>
      </c>
      <c r="F14" s="6"/>
      <c r="G14" s="6" t="s">
        <v>116</v>
      </c>
      <c r="H14" s="6" t="s">
        <v>772</v>
      </c>
      <c r="I14" s="6" t="s">
        <v>33</v>
      </c>
    </row>
    <row r="15" customFormat="false" ht="23.85" hidden="false" customHeight="false" outlineLevel="0" collapsed="false">
      <c r="A15" s="6" t="s">
        <v>773</v>
      </c>
      <c r="B15" s="6" t="s">
        <v>774</v>
      </c>
      <c r="C15" s="6" t="s">
        <v>775</v>
      </c>
      <c r="D15" s="6" t="s">
        <v>281</v>
      </c>
      <c r="E15" s="6" t="s">
        <v>771</v>
      </c>
      <c r="F15" s="6"/>
      <c r="G15" s="6" t="s">
        <v>191</v>
      </c>
      <c r="H15" s="6" t="s">
        <v>776</v>
      </c>
      <c r="I15" s="6" t="s">
        <v>33</v>
      </c>
    </row>
    <row r="16" customFormat="false" ht="15" hidden="false" customHeight="false" outlineLevel="0" collapsed="false">
      <c r="A16" s="6" t="s">
        <v>777</v>
      </c>
      <c r="B16" s="6" t="s">
        <v>778</v>
      </c>
      <c r="C16" s="6" t="s">
        <v>779</v>
      </c>
      <c r="D16" s="6" t="s">
        <v>281</v>
      </c>
      <c r="E16" s="6" t="s">
        <v>780</v>
      </c>
      <c r="F16" s="6"/>
      <c r="G16" s="6"/>
      <c r="H16" s="6" t="s">
        <v>781</v>
      </c>
      <c r="I16" s="6" t="s">
        <v>33</v>
      </c>
    </row>
    <row r="17" customFormat="false" ht="23.85" hidden="false" customHeight="false" outlineLevel="0" collapsed="false">
      <c r="A17" s="6" t="s">
        <v>782</v>
      </c>
      <c r="B17" s="6" t="s">
        <v>128</v>
      </c>
      <c r="C17" s="6" t="s">
        <v>783</v>
      </c>
      <c r="D17" s="6" t="s">
        <v>281</v>
      </c>
      <c r="E17" s="6" t="s">
        <v>784</v>
      </c>
      <c r="F17" s="6"/>
      <c r="G17" s="6" t="s">
        <v>130</v>
      </c>
      <c r="H17" s="6" t="s">
        <v>785</v>
      </c>
      <c r="I17" s="6" t="s">
        <v>33</v>
      </c>
    </row>
    <row r="18" customFormat="false" ht="15" hidden="false" customHeight="false" outlineLevel="0" collapsed="false">
      <c r="A18" s="6" t="s">
        <v>786</v>
      </c>
      <c r="B18" s="6" t="s">
        <v>787</v>
      </c>
      <c r="C18" s="6" t="s">
        <v>788</v>
      </c>
      <c r="D18" s="6" t="s">
        <v>281</v>
      </c>
      <c r="E18" s="6" t="s">
        <v>789</v>
      </c>
      <c r="F18" s="6" t="s">
        <v>790</v>
      </c>
      <c r="G18" s="6" t="s">
        <v>791</v>
      </c>
      <c r="H18" s="6" t="s">
        <v>104</v>
      </c>
      <c r="I18" s="6" t="s">
        <v>33</v>
      </c>
    </row>
    <row r="19" customFormat="false" ht="15" hidden="false" customHeight="false" outlineLevel="0" collapsed="false">
      <c r="A19" s="6"/>
      <c r="B19" s="6"/>
      <c r="C19" s="6"/>
      <c r="D19" s="6"/>
      <c r="E19" s="6"/>
      <c r="F19" s="6"/>
      <c r="G19" s="6"/>
      <c r="H19" s="6"/>
      <c r="I19" s="6"/>
    </row>
    <row r="20" customFormat="false" ht="15" hidden="false" customHeight="false" outlineLevel="0" collapsed="false">
      <c r="A20" s="6"/>
      <c r="B20" s="6"/>
      <c r="C20" s="6"/>
      <c r="D20" s="6"/>
      <c r="E20" s="6"/>
      <c r="F20" s="6"/>
      <c r="G20" s="6"/>
      <c r="H20" s="6"/>
      <c r="I20" s="6"/>
    </row>
  </sheetData>
  <autoFilter ref="A12:I20"/>
  <mergeCells count="11">
    <mergeCell ref="A5:B5"/>
    <mergeCell ref="C5:H5"/>
    <mergeCell ref="A6:B6"/>
    <mergeCell ref="C6:H6"/>
    <mergeCell ref="A7:B7"/>
    <mergeCell ref="C7:H7"/>
    <mergeCell ref="A8:B8"/>
    <mergeCell ref="C8:H8"/>
    <mergeCell ref="A9:B9"/>
    <mergeCell ref="C9:H9"/>
    <mergeCell ref="A11:I11"/>
  </mergeCells>
  <conditionalFormatting sqref="I13:I20">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I13:I20"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2"/>
    <col collapsed="false" customWidth="true" hidden="false" outlineLevel="0" max="4" min="4" style="0" width="48"/>
    <col collapsed="false" customWidth="true" hidden="false" outlineLevel="0" max="5" min="5" style="0" width="18"/>
    <col collapsed="false" customWidth="true" hidden="false" outlineLevel="0" max="6" min="6" style="0" width="10"/>
    <col collapsed="false" customWidth="true" hidden="false" outlineLevel="0" max="7" min="7" style="0" width="14"/>
    <col collapsed="false" customWidth="true" hidden="false" outlineLevel="0" max="8" min="8" style="0" width="13"/>
  </cols>
  <sheetData>
    <row r="1" customFormat="false" ht="17.35" hidden="false" customHeight="false" outlineLevel="0" collapsed="false">
      <c r="A1" s="1" t="s">
        <v>792</v>
      </c>
    </row>
    <row r="2" customFormat="false" ht="15" hidden="false" customHeight="false" outlineLevel="0" collapsed="false">
      <c r="A2" s="2" t="s">
        <v>793</v>
      </c>
    </row>
    <row r="3" customFormat="false" ht="15" hidden="false" customHeight="false" outlineLevel="0" collapsed="false">
      <c r="A3" s="3" t="str">
        <f aca="false">HYPERLINK("#'0 Index'!A1","↩ Index")</f>
        <v>↩ Index</v>
      </c>
    </row>
    <row r="5" customFormat="false" ht="15" hidden="false" customHeight="false" outlineLevel="0" collapsed="false">
      <c r="A5" s="41" t="s">
        <v>794</v>
      </c>
      <c r="B5" s="41"/>
      <c r="C5" s="41"/>
      <c r="D5" s="41"/>
      <c r="E5" s="41"/>
      <c r="F5" s="41"/>
      <c r="G5" s="41"/>
      <c r="H5" s="41"/>
    </row>
    <row r="6" customFormat="false" ht="15" hidden="false" customHeight="false" outlineLevel="0" collapsed="false">
      <c r="A6" s="42" t="s">
        <v>89</v>
      </c>
      <c r="B6" s="42" t="s">
        <v>499</v>
      </c>
      <c r="C6" s="42" t="s">
        <v>795</v>
      </c>
      <c r="D6" s="42" t="s">
        <v>796</v>
      </c>
      <c r="E6" s="42" t="s">
        <v>797</v>
      </c>
      <c r="F6" s="42" t="s">
        <v>79</v>
      </c>
      <c r="G6" s="42" t="s">
        <v>77</v>
      </c>
      <c r="H6" s="42" t="s">
        <v>75</v>
      </c>
    </row>
    <row r="7" customFormat="false" ht="23.85" hidden="false" customHeight="false" outlineLevel="0" collapsed="false">
      <c r="A7" s="6" t="s">
        <v>798</v>
      </c>
      <c r="B7" s="6" t="s">
        <v>799</v>
      </c>
      <c r="C7" s="6" t="s">
        <v>800</v>
      </c>
      <c r="D7" s="6" t="s">
        <v>801</v>
      </c>
      <c r="E7" s="6" t="s">
        <v>802</v>
      </c>
      <c r="F7" s="6" t="s">
        <v>803</v>
      </c>
      <c r="G7" s="6" t="s">
        <v>804</v>
      </c>
      <c r="H7" s="6" t="s">
        <v>32</v>
      </c>
    </row>
    <row r="8" customFormat="false" ht="23.85" hidden="false" customHeight="false" outlineLevel="0" collapsed="false">
      <c r="A8" s="6" t="s">
        <v>805</v>
      </c>
      <c r="B8" s="6" t="s">
        <v>505</v>
      </c>
      <c r="C8" s="6" t="s">
        <v>806</v>
      </c>
      <c r="D8" s="6" t="s">
        <v>807</v>
      </c>
      <c r="E8" s="6" t="s">
        <v>808</v>
      </c>
      <c r="F8" s="6" t="s">
        <v>510</v>
      </c>
      <c r="G8" s="6" t="s">
        <v>809</v>
      </c>
      <c r="H8" s="6" t="s">
        <v>33</v>
      </c>
    </row>
    <row r="9" customFormat="false" ht="23.85" hidden="false" customHeight="false" outlineLevel="0" collapsed="false">
      <c r="A9" s="6" t="s">
        <v>810</v>
      </c>
      <c r="B9" s="6" t="s">
        <v>513</v>
      </c>
      <c r="C9" s="6" t="s">
        <v>811</v>
      </c>
      <c r="D9" s="6" t="s">
        <v>812</v>
      </c>
      <c r="E9" s="6" t="s">
        <v>813</v>
      </c>
      <c r="F9" s="6" t="s">
        <v>510</v>
      </c>
      <c r="G9" s="6" t="s">
        <v>814</v>
      </c>
      <c r="H9" s="6" t="s">
        <v>33</v>
      </c>
    </row>
    <row r="10" customFormat="false" ht="23.85" hidden="false" customHeight="false" outlineLevel="0" collapsed="false">
      <c r="A10" s="6" t="s">
        <v>815</v>
      </c>
      <c r="B10" s="6" t="s">
        <v>519</v>
      </c>
      <c r="C10" s="6" t="s">
        <v>816</v>
      </c>
      <c r="D10" s="6" t="s">
        <v>817</v>
      </c>
      <c r="E10" s="6" t="s">
        <v>818</v>
      </c>
      <c r="F10" s="6" t="s">
        <v>596</v>
      </c>
      <c r="G10" s="6" t="s">
        <v>819</v>
      </c>
      <c r="H10" s="6" t="s">
        <v>32</v>
      </c>
    </row>
    <row r="12" customFormat="false" ht="15" hidden="false" customHeight="false" outlineLevel="0" collapsed="false">
      <c r="A12" s="41" t="s">
        <v>820</v>
      </c>
      <c r="B12" s="41"/>
      <c r="C12" s="41"/>
      <c r="D12" s="41"/>
      <c r="E12" s="41"/>
      <c r="F12" s="41"/>
      <c r="G12" s="41"/>
      <c r="H12" s="41"/>
    </row>
    <row r="13" customFormat="false" ht="15" hidden="false" customHeight="false" outlineLevel="0" collapsed="false">
      <c r="A13" s="42" t="s">
        <v>89</v>
      </c>
      <c r="B13" s="42" t="s">
        <v>821</v>
      </c>
      <c r="C13" s="42" t="s">
        <v>91</v>
      </c>
      <c r="D13" s="42" t="s">
        <v>240</v>
      </c>
      <c r="E13" s="42" t="s">
        <v>81</v>
      </c>
      <c r="F13" s="42" t="s">
        <v>79</v>
      </c>
      <c r="G13" s="42" t="s">
        <v>77</v>
      </c>
      <c r="H13" s="42" t="s">
        <v>75</v>
      </c>
    </row>
    <row r="14" customFormat="false" ht="46.25" hidden="false" customHeight="false" outlineLevel="0" collapsed="false">
      <c r="A14" s="6" t="s">
        <v>822</v>
      </c>
      <c r="B14" s="6" t="s">
        <v>823</v>
      </c>
      <c r="C14" s="6" t="s">
        <v>824</v>
      </c>
      <c r="D14" s="6" t="s">
        <v>825</v>
      </c>
      <c r="E14" s="6" t="s">
        <v>826</v>
      </c>
      <c r="F14" s="6" t="s">
        <v>827</v>
      </c>
      <c r="G14" s="6" t="s">
        <v>828</v>
      </c>
      <c r="H14" s="6" t="s">
        <v>32</v>
      </c>
    </row>
    <row r="15" customFormat="false" ht="35.05" hidden="false" customHeight="false" outlineLevel="0" collapsed="false">
      <c r="A15" s="6" t="s">
        <v>829</v>
      </c>
      <c r="B15" s="6" t="s">
        <v>830</v>
      </c>
      <c r="C15" s="6" t="s">
        <v>831</v>
      </c>
      <c r="D15" s="6"/>
      <c r="E15" s="6" t="s">
        <v>832</v>
      </c>
      <c r="F15" s="6" t="s">
        <v>596</v>
      </c>
      <c r="G15" s="6" t="s">
        <v>597</v>
      </c>
      <c r="H15" s="6" t="s">
        <v>32</v>
      </c>
    </row>
    <row r="16" customFormat="false" ht="57.45" hidden="false" customHeight="false" outlineLevel="0" collapsed="false">
      <c r="A16" s="6" t="s">
        <v>833</v>
      </c>
      <c r="B16" s="6" t="s">
        <v>834</v>
      </c>
      <c r="C16" s="6" t="s">
        <v>835</v>
      </c>
      <c r="D16" s="6"/>
      <c r="E16" s="6" t="s">
        <v>836</v>
      </c>
      <c r="F16" s="6" t="s">
        <v>424</v>
      </c>
      <c r="G16" s="6" t="s">
        <v>425</v>
      </c>
      <c r="H16" s="6" t="s">
        <v>32</v>
      </c>
    </row>
    <row r="17" customFormat="false" ht="35.05" hidden="false" customHeight="false" outlineLevel="0" collapsed="false">
      <c r="A17" s="6" t="s">
        <v>837</v>
      </c>
      <c r="B17" s="6" t="s">
        <v>838</v>
      </c>
      <c r="C17" s="6" t="s">
        <v>839</v>
      </c>
      <c r="D17" s="6"/>
      <c r="E17" s="6" t="s">
        <v>840</v>
      </c>
      <c r="F17" s="6"/>
      <c r="G17" s="6" t="s">
        <v>104</v>
      </c>
      <c r="H17" s="6" t="s">
        <v>33</v>
      </c>
    </row>
    <row r="18" customFormat="false" ht="35.05" hidden="false" customHeight="false" outlineLevel="0" collapsed="false">
      <c r="A18" s="6" t="s">
        <v>841</v>
      </c>
      <c r="B18" s="6" t="s">
        <v>842</v>
      </c>
      <c r="C18" s="6" t="s">
        <v>843</v>
      </c>
      <c r="D18" s="6"/>
      <c r="E18" s="6" t="s">
        <v>844</v>
      </c>
      <c r="F18" s="6" t="s">
        <v>827</v>
      </c>
      <c r="G18" s="6" t="s">
        <v>104</v>
      </c>
      <c r="H18" s="6" t="s">
        <v>33</v>
      </c>
    </row>
    <row r="19" customFormat="false" ht="35.05" hidden="false" customHeight="false" outlineLevel="0" collapsed="false">
      <c r="A19" s="6" t="s">
        <v>845</v>
      </c>
      <c r="B19" s="6" t="s">
        <v>846</v>
      </c>
      <c r="C19" s="6" t="s">
        <v>847</v>
      </c>
      <c r="D19" s="6"/>
      <c r="E19" s="6" t="s">
        <v>848</v>
      </c>
      <c r="F19" s="6" t="s">
        <v>130</v>
      </c>
      <c r="G19" s="6" t="s">
        <v>104</v>
      </c>
      <c r="H19" s="6" t="s">
        <v>33</v>
      </c>
    </row>
    <row r="20" customFormat="false" ht="46.25" hidden="false" customHeight="false" outlineLevel="0" collapsed="false">
      <c r="A20" s="6" t="s">
        <v>849</v>
      </c>
      <c r="B20" s="6" t="s">
        <v>850</v>
      </c>
      <c r="C20" s="6" t="s">
        <v>851</v>
      </c>
      <c r="D20" s="6"/>
      <c r="E20" s="6" t="s">
        <v>852</v>
      </c>
      <c r="F20" s="6"/>
      <c r="G20" s="6" t="s">
        <v>104</v>
      </c>
      <c r="H20" s="6" t="s">
        <v>33</v>
      </c>
    </row>
    <row r="21" customFormat="false" ht="46.25" hidden="false" customHeight="false" outlineLevel="0" collapsed="false">
      <c r="A21" s="6" t="s">
        <v>853</v>
      </c>
      <c r="B21" s="6" t="s">
        <v>854</v>
      </c>
      <c r="C21" s="6" t="s">
        <v>855</v>
      </c>
      <c r="D21" s="6"/>
      <c r="E21" s="6" t="s">
        <v>856</v>
      </c>
      <c r="F21" s="6" t="s">
        <v>705</v>
      </c>
      <c r="G21" s="6" t="s">
        <v>706</v>
      </c>
      <c r="H21" s="6" t="s">
        <v>32</v>
      </c>
    </row>
    <row r="22" customFormat="false" ht="15" hidden="false" customHeight="false" outlineLevel="0" collapsed="false">
      <c r="A22" s="6"/>
      <c r="B22" s="6"/>
      <c r="C22" s="6"/>
      <c r="D22" s="6"/>
      <c r="E22" s="6"/>
      <c r="F22" s="6"/>
      <c r="G22" s="6"/>
      <c r="H22" s="6"/>
    </row>
  </sheetData>
  <autoFilter ref="A6:H10"/>
  <mergeCells count="2">
    <mergeCell ref="A5:H5"/>
    <mergeCell ref="A12:H12"/>
  </mergeCells>
  <conditionalFormatting sqref="H7:H10">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H14:H22">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H7:H10 H14:H22"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4"/>
    <col collapsed="false" customWidth="true" hidden="false" outlineLevel="0" max="4" min="4" style="0" width="40"/>
    <col collapsed="false" customWidth="true" hidden="false" outlineLevel="0" max="5" min="5" style="0" width="26"/>
    <col collapsed="false" customWidth="true" hidden="false" outlineLevel="0" max="6" min="6" style="0" width="10"/>
    <col collapsed="false" customWidth="true" hidden="false" outlineLevel="0" max="7" min="7" style="0" width="14"/>
    <col collapsed="false" customWidth="true" hidden="false" outlineLevel="0" max="8" min="8" style="0" width="13"/>
  </cols>
  <sheetData>
    <row r="1" customFormat="false" ht="17.35" hidden="false" customHeight="false" outlineLevel="0" collapsed="false">
      <c r="A1" s="1" t="s">
        <v>857</v>
      </c>
    </row>
    <row r="2" customFormat="false" ht="15" hidden="false" customHeight="false" outlineLevel="0" collapsed="false">
      <c r="A2" s="2" t="s">
        <v>858</v>
      </c>
    </row>
    <row r="3" customFormat="false" ht="15" hidden="false" customHeight="false" outlineLevel="0" collapsed="false">
      <c r="A3" s="3" t="str">
        <f aca="false">HYPERLINK("#'0 Index'!A1","↩ Index")</f>
        <v>↩ Index</v>
      </c>
    </row>
    <row r="5" customFormat="false" ht="15" hidden="false" customHeight="false" outlineLevel="0" collapsed="false">
      <c r="A5" s="41" t="s">
        <v>859</v>
      </c>
      <c r="B5" s="41"/>
      <c r="C5" s="41"/>
      <c r="D5" s="41"/>
      <c r="E5" s="41"/>
      <c r="F5" s="41"/>
      <c r="G5" s="41"/>
      <c r="H5" s="41"/>
    </row>
    <row r="6" customFormat="false" ht="15" hidden="false" customHeight="false" outlineLevel="0" collapsed="false">
      <c r="A6" s="42" t="s">
        <v>89</v>
      </c>
      <c r="B6" s="42" t="s">
        <v>860</v>
      </c>
      <c r="C6" s="42" t="s">
        <v>861</v>
      </c>
      <c r="D6" s="42" t="s">
        <v>240</v>
      </c>
      <c r="E6" s="42" t="s">
        <v>81</v>
      </c>
      <c r="F6" s="42" t="s">
        <v>79</v>
      </c>
      <c r="G6" s="42" t="s">
        <v>77</v>
      </c>
      <c r="H6" s="42" t="s">
        <v>75</v>
      </c>
    </row>
    <row r="7" customFormat="false" ht="23.85" hidden="false" customHeight="false" outlineLevel="0" collapsed="false">
      <c r="A7" s="6" t="s">
        <v>862</v>
      </c>
      <c r="B7" s="6" t="s">
        <v>544</v>
      </c>
      <c r="C7" s="6" t="s">
        <v>863</v>
      </c>
      <c r="D7" s="6" t="s">
        <v>864</v>
      </c>
      <c r="E7" s="6"/>
      <c r="F7" s="6"/>
      <c r="G7" s="6" t="s">
        <v>865</v>
      </c>
      <c r="H7" s="6" t="s">
        <v>32</v>
      </c>
    </row>
    <row r="8" customFormat="false" ht="35.05" hidden="false" customHeight="false" outlineLevel="0" collapsed="false">
      <c r="A8" s="6" t="s">
        <v>866</v>
      </c>
      <c r="B8" s="6" t="s">
        <v>552</v>
      </c>
      <c r="C8" s="6" t="s">
        <v>867</v>
      </c>
      <c r="D8" s="6" t="s">
        <v>868</v>
      </c>
      <c r="E8" s="6" t="s">
        <v>869</v>
      </c>
      <c r="F8" s="6" t="s">
        <v>556</v>
      </c>
      <c r="G8" s="6" t="s">
        <v>870</v>
      </c>
      <c r="H8" s="6" t="s">
        <v>33</v>
      </c>
    </row>
    <row r="9" customFormat="false" ht="35.05" hidden="false" customHeight="false" outlineLevel="0" collapsed="false">
      <c r="A9" s="6" t="s">
        <v>871</v>
      </c>
      <c r="B9" s="6" t="s">
        <v>559</v>
      </c>
      <c r="C9" s="6" t="s">
        <v>872</v>
      </c>
      <c r="D9" s="6" t="s">
        <v>873</v>
      </c>
      <c r="E9" s="6" t="s">
        <v>874</v>
      </c>
      <c r="F9" s="6"/>
      <c r="G9" s="6" t="s">
        <v>875</v>
      </c>
      <c r="H9" s="6" t="s">
        <v>32</v>
      </c>
    </row>
    <row r="10" customFormat="false" ht="35.05" hidden="false" customHeight="false" outlineLevel="0" collapsed="false">
      <c r="A10" s="6" t="s">
        <v>876</v>
      </c>
      <c r="B10" s="6" t="s">
        <v>564</v>
      </c>
      <c r="C10" s="6" t="s">
        <v>877</v>
      </c>
      <c r="D10" s="6" t="s">
        <v>878</v>
      </c>
      <c r="E10" s="6"/>
      <c r="F10" s="6" t="s">
        <v>568</v>
      </c>
      <c r="G10" s="6" t="s">
        <v>569</v>
      </c>
      <c r="H10" s="6" t="s">
        <v>32</v>
      </c>
    </row>
    <row r="12" customFormat="false" ht="15" hidden="false" customHeight="false" outlineLevel="0" collapsed="false">
      <c r="A12" s="41" t="s">
        <v>879</v>
      </c>
      <c r="B12" s="41"/>
      <c r="C12" s="41"/>
      <c r="D12" s="41"/>
      <c r="E12" s="41"/>
      <c r="F12" s="41"/>
      <c r="G12" s="41"/>
      <c r="H12" s="41"/>
    </row>
    <row r="13" customFormat="false" ht="15" hidden="false" customHeight="false" outlineLevel="0" collapsed="false">
      <c r="A13" s="42" t="s">
        <v>89</v>
      </c>
      <c r="B13" s="42" t="s">
        <v>880</v>
      </c>
      <c r="C13" s="42" t="s">
        <v>881</v>
      </c>
      <c r="D13" s="42" t="s">
        <v>240</v>
      </c>
      <c r="E13" s="42" t="s">
        <v>81</v>
      </c>
      <c r="F13" s="42" t="s">
        <v>79</v>
      </c>
      <c r="G13" s="42" t="s">
        <v>77</v>
      </c>
      <c r="H13" s="42" t="s">
        <v>75</v>
      </c>
    </row>
    <row r="14" customFormat="false" ht="15" hidden="false" customHeight="false" outlineLevel="0" collapsed="false">
      <c r="A14" s="6" t="s">
        <v>882</v>
      </c>
      <c r="B14" s="6" t="s">
        <v>883</v>
      </c>
      <c r="C14" s="6" t="s">
        <v>884</v>
      </c>
      <c r="D14" s="6"/>
      <c r="E14" s="6"/>
      <c r="F14" s="6" t="s">
        <v>549</v>
      </c>
      <c r="G14" s="6" t="s">
        <v>885</v>
      </c>
      <c r="H14" s="6" t="s">
        <v>32</v>
      </c>
    </row>
    <row r="15" customFormat="false" ht="23.85" hidden="false" customHeight="false" outlineLevel="0" collapsed="false">
      <c r="A15" s="6" t="s">
        <v>886</v>
      </c>
      <c r="B15" s="6" t="s">
        <v>887</v>
      </c>
      <c r="C15" s="6" t="s">
        <v>888</v>
      </c>
      <c r="D15" s="6"/>
      <c r="E15" s="6"/>
      <c r="F15" s="6" t="s">
        <v>549</v>
      </c>
      <c r="G15" s="6" t="s">
        <v>889</v>
      </c>
      <c r="H15" s="6" t="s">
        <v>32</v>
      </c>
    </row>
    <row r="16" customFormat="false" ht="23.85" hidden="false" customHeight="false" outlineLevel="0" collapsed="false">
      <c r="A16" s="6" t="s">
        <v>890</v>
      </c>
      <c r="B16" s="6" t="s">
        <v>891</v>
      </c>
      <c r="C16" s="6" t="s">
        <v>892</v>
      </c>
      <c r="D16" s="6" t="s">
        <v>893</v>
      </c>
      <c r="E16" s="6" t="s">
        <v>894</v>
      </c>
      <c r="F16" s="6" t="s">
        <v>549</v>
      </c>
      <c r="G16" s="6" t="s">
        <v>104</v>
      </c>
      <c r="H16" s="6" t="s">
        <v>33</v>
      </c>
    </row>
    <row r="17" customFormat="false" ht="23.85" hidden="false" customHeight="false" outlineLevel="0" collapsed="false">
      <c r="A17" s="6" t="s">
        <v>895</v>
      </c>
      <c r="B17" s="6" t="s">
        <v>480</v>
      </c>
      <c r="C17" s="6" t="s">
        <v>896</v>
      </c>
      <c r="D17" s="6" t="s">
        <v>897</v>
      </c>
      <c r="E17" s="6" t="s">
        <v>898</v>
      </c>
      <c r="F17" s="6" t="s">
        <v>549</v>
      </c>
      <c r="G17" s="6" t="s">
        <v>104</v>
      </c>
      <c r="H17" s="6" t="s">
        <v>33</v>
      </c>
    </row>
    <row r="18" customFormat="false" ht="23.85" hidden="false" customHeight="false" outlineLevel="0" collapsed="false">
      <c r="A18" s="6" t="s">
        <v>899</v>
      </c>
      <c r="B18" s="6" t="s">
        <v>900</v>
      </c>
      <c r="C18" s="6" t="s">
        <v>901</v>
      </c>
      <c r="D18" s="6" t="s">
        <v>902</v>
      </c>
      <c r="E18" s="6" t="s">
        <v>903</v>
      </c>
      <c r="F18" s="6" t="s">
        <v>175</v>
      </c>
      <c r="G18" s="6" t="s">
        <v>904</v>
      </c>
      <c r="H18" s="6" t="s">
        <v>33</v>
      </c>
    </row>
    <row r="19" customFormat="false" ht="15" hidden="false" customHeight="false" outlineLevel="0" collapsed="false">
      <c r="A19" s="6"/>
      <c r="B19" s="6"/>
      <c r="C19" s="6"/>
      <c r="D19" s="6"/>
      <c r="E19" s="6"/>
      <c r="F19" s="6"/>
      <c r="G19" s="6"/>
      <c r="H19" s="6"/>
    </row>
    <row r="21" customFormat="false" ht="15" hidden="false" customHeight="false" outlineLevel="0" collapsed="false">
      <c r="A21" s="41" t="s">
        <v>905</v>
      </c>
      <c r="B21" s="41"/>
      <c r="C21" s="41"/>
      <c r="D21" s="41"/>
      <c r="E21" s="41"/>
      <c r="F21" s="41"/>
      <c r="G21" s="41"/>
      <c r="H21" s="41"/>
    </row>
    <row r="22" customFormat="false" ht="15" hidden="false" customHeight="false" outlineLevel="0" collapsed="false">
      <c r="A22" s="42" t="s">
        <v>89</v>
      </c>
      <c r="B22" s="42" t="s">
        <v>906</v>
      </c>
      <c r="C22" s="42" t="s">
        <v>907</v>
      </c>
      <c r="D22" s="42" t="s">
        <v>454</v>
      </c>
      <c r="E22" s="42" t="s">
        <v>81</v>
      </c>
      <c r="F22" s="42" t="s">
        <v>79</v>
      </c>
      <c r="G22" s="42" t="s">
        <v>77</v>
      </c>
      <c r="H22" s="42" t="s">
        <v>75</v>
      </c>
    </row>
    <row r="23" customFormat="false" ht="23.85" hidden="false" customHeight="false" outlineLevel="0" collapsed="false">
      <c r="A23" s="6" t="s">
        <v>908</v>
      </c>
      <c r="B23" s="6" t="s">
        <v>909</v>
      </c>
      <c r="C23" s="6" t="s">
        <v>910</v>
      </c>
      <c r="D23" s="6" t="s">
        <v>911</v>
      </c>
      <c r="E23" s="6" t="s">
        <v>912</v>
      </c>
      <c r="F23" s="6" t="s">
        <v>549</v>
      </c>
      <c r="G23" s="6" t="s">
        <v>104</v>
      </c>
      <c r="H23" s="6" t="s">
        <v>33</v>
      </c>
    </row>
    <row r="24" customFormat="false" ht="23.85" hidden="false" customHeight="false" outlineLevel="0" collapsed="false">
      <c r="A24" s="6" t="s">
        <v>913</v>
      </c>
      <c r="B24" s="6" t="s">
        <v>914</v>
      </c>
      <c r="C24" s="6" t="s">
        <v>915</v>
      </c>
      <c r="D24" s="6" t="s">
        <v>916</v>
      </c>
      <c r="E24" s="6" t="s">
        <v>917</v>
      </c>
      <c r="F24" s="6" t="s">
        <v>549</v>
      </c>
      <c r="G24" s="6" t="s">
        <v>104</v>
      </c>
      <c r="H24" s="6" t="s">
        <v>33</v>
      </c>
    </row>
    <row r="25" customFormat="false" ht="23.85" hidden="false" customHeight="false" outlineLevel="0" collapsed="false">
      <c r="A25" s="6" t="s">
        <v>918</v>
      </c>
      <c r="B25" s="6" t="s">
        <v>919</v>
      </c>
      <c r="C25" s="6" t="s">
        <v>920</v>
      </c>
      <c r="D25" s="6" t="s">
        <v>921</v>
      </c>
      <c r="E25" s="6" t="s">
        <v>64</v>
      </c>
      <c r="F25" s="6" t="s">
        <v>549</v>
      </c>
      <c r="G25" s="6" t="s">
        <v>104</v>
      </c>
      <c r="H25" s="6" t="s">
        <v>33</v>
      </c>
    </row>
    <row r="26" customFormat="false" ht="15" hidden="false" customHeight="false" outlineLevel="0" collapsed="false">
      <c r="A26" s="6"/>
      <c r="B26" s="6"/>
      <c r="C26" s="6"/>
      <c r="D26" s="6"/>
      <c r="E26" s="6"/>
      <c r="F26" s="6"/>
      <c r="G26" s="6"/>
      <c r="H26" s="6"/>
    </row>
    <row r="28" customFormat="false" ht="15" hidden="false" customHeight="false" outlineLevel="0" collapsed="false">
      <c r="A28" s="41" t="s">
        <v>922</v>
      </c>
      <c r="B28" s="41"/>
      <c r="C28" s="41"/>
      <c r="D28" s="41"/>
      <c r="E28" s="41"/>
      <c r="F28" s="41"/>
      <c r="G28" s="41"/>
      <c r="H28" s="41"/>
    </row>
    <row r="29" customFormat="false" ht="15" hidden="false" customHeight="true" outlineLevel="0" collapsed="false">
      <c r="A29" s="8" t="s">
        <v>923</v>
      </c>
      <c r="B29" s="8"/>
      <c r="C29" s="8"/>
      <c r="D29" s="8"/>
      <c r="E29" s="8"/>
      <c r="F29" s="8"/>
      <c r="G29" s="8"/>
      <c r="H29" s="8"/>
    </row>
    <row r="30" customFormat="false" ht="15" hidden="false" customHeight="false" outlineLevel="0" collapsed="false">
      <c r="A30" s="30" t="s">
        <v>924</v>
      </c>
      <c r="B30" s="43" t="n">
        <v>2700</v>
      </c>
      <c r="C30" s="2" t="s">
        <v>925</v>
      </c>
    </row>
    <row r="31" customFormat="false" ht="15" hidden="false" customHeight="false" outlineLevel="0" collapsed="false">
      <c r="A31" s="30" t="s">
        <v>926</v>
      </c>
      <c r="B31" s="43" t="n">
        <v>5</v>
      </c>
      <c r="C31" s="2" t="s">
        <v>927</v>
      </c>
    </row>
    <row r="32" customFormat="false" ht="15" hidden="false" customHeight="false" outlineLevel="0" collapsed="false">
      <c r="A32" s="30" t="s">
        <v>928</v>
      </c>
      <c r="B32" s="43" t="n">
        <v>100</v>
      </c>
      <c r="C32" s="2" t="s">
        <v>929</v>
      </c>
    </row>
    <row r="34" customFormat="false" ht="15" hidden="false" customHeight="false" outlineLevel="0" collapsed="false">
      <c r="A34" s="30" t="s">
        <v>930</v>
      </c>
    </row>
    <row r="35" customFormat="false" ht="15" hidden="false" customHeight="false" outlineLevel="0" collapsed="false">
      <c r="A35" s="44" t="n">
        <v>0</v>
      </c>
      <c r="B35" s="44" t="s">
        <v>931</v>
      </c>
    </row>
    <row r="36" customFormat="false" ht="15" hidden="false" customHeight="false" outlineLevel="0" collapsed="false">
      <c r="A36" s="44" t="n">
        <v>3700</v>
      </c>
      <c r="B36" s="44" t="s">
        <v>932</v>
      </c>
    </row>
    <row r="37" customFormat="false" ht="15" hidden="false" customHeight="false" outlineLevel="0" collapsed="false">
      <c r="A37" s="44" t="n">
        <v>5200</v>
      </c>
      <c r="B37" s="44" t="s">
        <v>933</v>
      </c>
    </row>
    <row r="38" customFormat="false" ht="15" hidden="false" customHeight="false" outlineLevel="0" collapsed="false">
      <c r="A38" s="44" t="n">
        <v>6000</v>
      </c>
      <c r="B38" s="44" t="s">
        <v>934</v>
      </c>
    </row>
    <row r="39" customFormat="false" ht="15" hidden="false" customHeight="false" outlineLevel="0" collapsed="false">
      <c r="A39" s="44" t="n">
        <v>7500</v>
      </c>
      <c r="B39" s="44" t="s">
        <v>537</v>
      </c>
    </row>
    <row r="40" customFormat="false" ht="15" hidden="false" customHeight="false" outlineLevel="0" collapsed="false">
      <c r="A40" s="44" t="n">
        <v>10000</v>
      </c>
      <c r="B40" s="44" t="s">
        <v>935</v>
      </c>
    </row>
    <row r="41" customFormat="false" ht="15" hidden="false" customHeight="false" outlineLevel="0" collapsed="false">
      <c r="A41" s="44" t="n">
        <v>30000</v>
      </c>
      <c r="B41" s="44" t="s">
        <v>936</v>
      </c>
    </row>
    <row r="43" customFormat="false" ht="15" hidden="false" customHeight="false" outlineLevel="0" collapsed="false">
      <c r="A43" s="45" t="s">
        <v>937</v>
      </c>
      <c r="B43" s="45" t="s">
        <v>938</v>
      </c>
      <c r="C43" s="45" t="s">
        <v>939</v>
      </c>
      <c r="D43" s="45" t="s">
        <v>940</v>
      </c>
      <c r="E43" s="45" t="s">
        <v>941</v>
      </c>
      <c r="F43" s="45" t="s">
        <v>942</v>
      </c>
      <c r="G43" s="45" t="s">
        <v>943</v>
      </c>
      <c r="H43" s="45" t="s">
        <v>944</v>
      </c>
    </row>
    <row r="44" customFormat="false" ht="15" hidden="false" customHeight="false" outlineLevel="0" collapsed="false">
      <c r="A44" s="12" t="s">
        <v>945</v>
      </c>
      <c r="B44" s="43" t="n">
        <v>0.3</v>
      </c>
      <c r="C44" s="43" t="n">
        <v>2</v>
      </c>
      <c r="D44" s="46" t="n">
        <f aca="false">4/3*PI()*B44^3</f>
        <v>0.113097335529233</v>
      </c>
      <c r="E44" s="46" t="n">
        <f aca="false">C44*D44</f>
        <v>0.226194671058465</v>
      </c>
      <c r="F44" s="12" t="str">
        <f aca="false">IF(E44&lt;$B$31,"low",IF(E44&lt;$B$32,"medium","high"))</f>
        <v>low</v>
      </c>
      <c r="G44" s="47" t="n">
        <f aca="false">$B$30*E44^0.25</f>
        <v>1862.02006432416</v>
      </c>
      <c r="H44" s="12" t="str">
        <f aca="false">LOOKUP(G44,$A$35:$A$41,$B$35:$B$41)</f>
        <v>red</v>
      </c>
    </row>
    <row r="45" customFormat="false" ht="15" hidden="false" customHeight="false" outlineLevel="0" collapsed="false">
      <c r="A45" s="12" t="s">
        <v>946</v>
      </c>
      <c r="B45" s="43" t="n">
        <v>1</v>
      </c>
      <c r="C45" s="43" t="n">
        <v>5</v>
      </c>
      <c r="D45" s="46" t="n">
        <f aca="false">4/3*PI()*B45^3</f>
        <v>4.18879020478639</v>
      </c>
      <c r="E45" s="46" t="n">
        <f aca="false">C45*D45</f>
        <v>20.943951023932</v>
      </c>
      <c r="F45" s="12" t="str">
        <f aca="false">IF(E45&lt;$B$31,"low",IF(E45&lt;$B$32,"medium","high"))</f>
        <v>medium</v>
      </c>
      <c r="G45" s="47" t="n">
        <f aca="false">$B$30*E45^0.25</f>
        <v>5776.01639868555</v>
      </c>
      <c r="H45" s="12" t="str">
        <f aca="false">LOOKUP(G45,$A$35:$A$41,$B$35:$B$41)</f>
        <v>yellow</v>
      </c>
    </row>
    <row r="46" customFormat="false" ht="15" hidden="false" customHeight="false" outlineLevel="0" collapsed="false">
      <c r="A46" s="12" t="s">
        <v>947</v>
      </c>
      <c r="B46" s="43" t="n">
        <v>3</v>
      </c>
      <c r="C46" s="43" t="n">
        <v>8</v>
      </c>
      <c r="D46" s="46" t="n">
        <f aca="false">4/3*PI()*B46^3</f>
        <v>113.097335529233</v>
      </c>
      <c r="E46" s="46" t="n">
        <f aca="false">C46*D46</f>
        <v>904.77868423386</v>
      </c>
      <c r="F46" s="12" t="str">
        <f aca="false">IF(E46&lt;$B$31,"low",IF(E46&lt;$B$32,"medium","high"))</f>
        <v>high</v>
      </c>
      <c r="G46" s="47" t="n">
        <f aca="false">$B$30*E46^0.25</f>
        <v>14808.1005353394</v>
      </c>
      <c r="H46" s="12" t="str">
        <f aca="false">LOOKUP(G46,$A$35:$A$41,$B$35:$B$41)</f>
        <v>blue-white</v>
      </c>
    </row>
    <row r="47" customFormat="false" ht="15" hidden="false" customHeight="false" outlineLevel="0" collapsed="false">
      <c r="A47" s="12" t="s">
        <v>948</v>
      </c>
      <c r="B47" s="43" t="n">
        <v>1.5</v>
      </c>
      <c r="C47" s="43" t="n">
        <v>6</v>
      </c>
      <c r="D47" s="46" t="n">
        <f aca="false">4/3*PI()*B47^3</f>
        <v>14.1371669411541</v>
      </c>
      <c r="E47" s="46" t="n">
        <f aca="false">C47*D47</f>
        <v>84.8230016469244</v>
      </c>
      <c r="F47" s="12" t="str">
        <f aca="false">IF(E47&lt;$B$31,"low",IF(E47&lt;$B$32,"medium","high"))</f>
        <v>medium</v>
      </c>
      <c r="G47" s="47" t="n">
        <f aca="false">$B$30*E47^0.25</f>
        <v>8193.9285637824</v>
      </c>
      <c r="H47" s="12" t="str">
        <f aca="false">LOOKUP(G47,$A$35:$A$41,$B$35:$B$41)</f>
        <v>white</v>
      </c>
    </row>
  </sheetData>
  <autoFilter ref="A6:H10"/>
  <mergeCells count="5">
    <mergeCell ref="A5:H5"/>
    <mergeCell ref="A12:H12"/>
    <mergeCell ref="A21:H21"/>
    <mergeCell ref="A28:H28"/>
    <mergeCell ref="A29:H29"/>
  </mergeCells>
  <conditionalFormatting sqref="H7:H10">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H14:H19">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H23:H26">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H7:H10 H14:H19 H23:H26"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32"/>
    <col collapsed="false" customWidth="true" hidden="false" outlineLevel="0" max="4" min="4" style="0" width="40"/>
    <col collapsed="false" customWidth="true" hidden="false" outlineLevel="0" max="5" min="5" style="0" width="22"/>
    <col collapsed="false" customWidth="true" hidden="false" outlineLevel="0" max="6" min="6" style="0" width="24"/>
    <col collapsed="false" customWidth="true" hidden="false" outlineLevel="0" max="7" min="7" style="0" width="1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949</v>
      </c>
    </row>
    <row r="2" customFormat="false" ht="15" hidden="false" customHeight="false" outlineLevel="0" collapsed="false">
      <c r="A2" s="2" t="s">
        <v>950</v>
      </c>
    </row>
    <row r="3" customFormat="false" ht="15" hidden="false" customHeight="false" outlineLevel="0" collapsed="false">
      <c r="A3" s="3" t="str">
        <f aca="false">HYPERLINK("#'0 Index'!A1","↩ Index")</f>
        <v>↩ Index</v>
      </c>
    </row>
    <row r="5" customFormat="false" ht="15" hidden="false" customHeight="false" outlineLevel="0" collapsed="false">
      <c r="A5" s="41" t="s">
        <v>56</v>
      </c>
      <c r="B5" s="41"/>
      <c r="C5" s="41"/>
      <c r="D5" s="41"/>
      <c r="E5" s="41"/>
      <c r="F5" s="41"/>
      <c r="G5" s="41"/>
      <c r="H5" s="41"/>
      <c r="I5" s="41"/>
    </row>
    <row r="6" customFormat="false" ht="15" hidden="false" customHeight="false" outlineLevel="0" collapsed="false">
      <c r="A6" s="42" t="s">
        <v>89</v>
      </c>
      <c r="B6" s="42" t="s">
        <v>527</v>
      </c>
      <c r="C6" s="42" t="s">
        <v>951</v>
      </c>
      <c r="D6" s="42" t="s">
        <v>952</v>
      </c>
      <c r="E6" s="42" t="s">
        <v>953</v>
      </c>
      <c r="F6" s="42" t="s">
        <v>81</v>
      </c>
      <c r="G6" s="42" t="s">
        <v>79</v>
      </c>
      <c r="H6" s="42" t="s">
        <v>77</v>
      </c>
      <c r="I6" s="42" t="s">
        <v>75</v>
      </c>
    </row>
    <row r="7" customFormat="false" ht="15" hidden="false" customHeight="false" outlineLevel="0" collapsed="false">
      <c r="A7" s="6" t="s">
        <v>954</v>
      </c>
      <c r="B7" s="6" t="s">
        <v>544</v>
      </c>
      <c r="C7" s="6" t="s">
        <v>955</v>
      </c>
      <c r="D7" s="6" t="s">
        <v>956</v>
      </c>
      <c r="E7" s="6" t="s">
        <v>957</v>
      </c>
      <c r="F7" s="6"/>
      <c r="G7" s="6"/>
      <c r="H7" s="6" t="s">
        <v>958</v>
      </c>
      <c r="I7" s="6" t="s">
        <v>32</v>
      </c>
    </row>
    <row r="8" customFormat="false" ht="23.85" hidden="false" customHeight="false" outlineLevel="0" collapsed="false">
      <c r="A8" s="6" t="s">
        <v>959</v>
      </c>
      <c r="B8" s="6" t="s">
        <v>544</v>
      </c>
      <c r="C8" s="6" t="s">
        <v>960</v>
      </c>
      <c r="D8" s="6" t="s">
        <v>961</v>
      </c>
      <c r="E8" s="6" t="s">
        <v>962</v>
      </c>
      <c r="F8" s="6" t="s">
        <v>963</v>
      </c>
      <c r="G8" s="6" t="s">
        <v>175</v>
      </c>
      <c r="H8" s="6" t="s">
        <v>964</v>
      </c>
      <c r="I8" s="6" t="s">
        <v>32</v>
      </c>
    </row>
    <row r="9" customFormat="false" ht="35.05" hidden="false" customHeight="false" outlineLevel="0" collapsed="false">
      <c r="A9" s="6" t="s">
        <v>965</v>
      </c>
      <c r="B9" s="6" t="s">
        <v>544</v>
      </c>
      <c r="C9" s="6" t="s">
        <v>960</v>
      </c>
      <c r="D9" s="6" t="s">
        <v>966</v>
      </c>
      <c r="E9" s="6" t="s">
        <v>967</v>
      </c>
      <c r="F9" s="6" t="s">
        <v>968</v>
      </c>
      <c r="G9" s="6" t="s">
        <v>969</v>
      </c>
      <c r="H9" s="6" t="s">
        <v>970</v>
      </c>
      <c r="I9" s="6" t="s">
        <v>33</v>
      </c>
    </row>
    <row r="10" customFormat="false" ht="35.05" hidden="false" customHeight="false" outlineLevel="0" collapsed="false">
      <c r="A10" s="6" t="s">
        <v>971</v>
      </c>
      <c r="B10" s="6" t="s">
        <v>559</v>
      </c>
      <c r="C10" s="6" t="s">
        <v>972</v>
      </c>
      <c r="D10" s="6" t="s">
        <v>973</v>
      </c>
      <c r="E10" s="6" t="s">
        <v>974</v>
      </c>
      <c r="F10" s="6" t="s">
        <v>975</v>
      </c>
      <c r="G10" s="6" t="s">
        <v>175</v>
      </c>
      <c r="H10" s="6" t="s">
        <v>976</v>
      </c>
      <c r="I10" s="6" t="s">
        <v>32</v>
      </c>
    </row>
    <row r="11" customFormat="false" ht="23.85" hidden="false" customHeight="false" outlineLevel="0" collapsed="false">
      <c r="A11" s="6" t="s">
        <v>977</v>
      </c>
      <c r="B11" s="6" t="s">
        <v>564</v>
      </c>
      <c r="C11" s="6" t="s">
        <v>978</v>
      </c>
      <c r="D11" s="6" t="s">
        <v>979</v>
      </c>
      <c r="E11" s="6"/>
      <c r="F11" s="6"/>
      <c r="G11" s="6" t="s">
        <v>568</v>
      </c>
      <c r="H11" s="6" t="s">
        <v>980</v>
      </c>
      <c r="I11" s="6" t="s">
        <v>32</v>
      </c>
    </row>
    <row r="12" customFormat="false" ht="23.85" hidden="false" customHeight="false" outlineLevel="0" collapsed="false">
      <c r="A12" s="6" t="s">
        <v>981</v>
      </c>
      <c r="B12" s="6" t="s">
        <v>552</v>
      </c>
      <c r="C12" s="6" t="s">
        <v>972</v>
      </c>
      <c r="D12" s="6" t="s">
        <v>982</v>
      </c>
      <c r="E12" s="6" t="s">
        <v>974</v>
      </c>
      <c r="F12" s="6" t="s">
        <v>983</v>
      </c>
      <c r="G12" s="6" t="s">
        <v>556</v>
      </c>
      <c r="H12" s="6" t="s">
        <v>870</v>
      </c>
      <c r="I12" s="6" t="s">
        <v>33</v>
      </c>
    </row>
    <row r="13" customFormat="false" ht="15" hidden="false" customHeight="false" outlineLevel="0" collapsed="false">
      <c r="A13" s="6" t="s">
        <v>984</v>
      </c>
      <c r="B13" s="6" t="s">
        <v>571</v>
      </c>
      <c r="C13" s="6" t="s">
        <v>960</v>
      </c>
      <c r="D13" s="6" t="s">
        <v>985</v>
      </c>
      <c r="E13" s="6"/>
      <c r="F13" s="6"/>
      <c r="G13" s="6" t="s">
        <v>986</v>
      </c>
      <c r="H13" s="6" t="s">
        <v>104</v>
      </c>
      <c r="I13" s="6" t="s">
        <v>33</v>
      </c>
    </row>
    <row r="14" customFormat="false" ht="23.85" hidden="false" customHeight="false" outlineLevel="0" collapsed="false">
      <c r="A14" s="6" t="s">
        <v>987</v>
      </c>
      <c r="B14" s="6" t="s">
        <v>988</v>
      </c>
      <c r="C14" s="6" t="s">
        <v>989</v>
      </c>
      <c r="D14" s="6" t="s">
        <v>990</v>
      </c>
      <c r="E14" s="6"/>
      <c r="F14" s="6"/>
      <c r="G14" s="6" t="s">
        <v>175</v>
      </c>
      <c r="H14" s="6" t="s">
        <v>104</v>
      </c>
      <c r="I14" s="6" t="s">
        <v>33</v>
      </c>
    </row>
    <row r="15" customFormat="false" ht="15" hidden="false" customHeight="false" outlineLevel="0" collapsed="false">
      <c r="A15" s="6" t="s">
        <v>991</v>
      </c>
      <c r="B15" s="6" t="s">
        <v>992</v>
      </c>
      <c r="C15" s="6" t="s">
        <v>993</v>
      </c>
      <c r="D15" s="6" t="s">
        <v>994</v>
      </c>
      <c r="E15" s="6"/>
      <c r="F15" s="6"/>
      <c r="G15" s="6" t="s">
        <v>969</v>
      </c>
      <c r="H15" s="6" t="s">
        <v>995</v>
      </c>
      <c r="I15" s="6" t="s">
        <v>32</v>
      </c>
    </row>
    <row r="16" customFormat="false" ht="23.85" hidden="false" customHeight="false" outlineLevel="0" collapsed="false">
      <c r="A16" s="6" t="s">
        <v>996</v>
      </c>
      <c r="B16" s="6" t="s">
        <v>997</v>
      </c>
      <c r="C16" s="6" t="s">
        <v>998</v>
      </c>
      <c r="D16" s="6" t="s">
        <v>999</v>
      </c>
      <c r="E16" s="6"/>
      <c r="F16" s="6"/>
      <c r="G16" s="6" t="s">
        <v>175</v>
      </c>
      <c r="H16" s="6" t="s">
        <v>104</v>
      </c>
      <c r="I16" s="6" t="s">
        <v>33</v>
      </c>
    </row>
    <row r="17" customFormat="false" ht="15" hidden="false" customHeight="false" outlineLevel="0" collapsed="false">
      <c r="A17" s="6"/>
      <c r="B17" s="6"/>
      <c r="C17" s="6"/>
      <c r="D17" s="6"/>
      <c r="E17" s="6"/>
      <c r="F17" s="6"/>
      <c r="G17" s="6"/>
      <c r="H17" s="6"/>
      <c r="I17" s="6"/>
    </row>
    <row r="19" customFormat="false" ht="15" hidden="false" customHeight="false" outlineLevel="0" collapsed="false">
      <c r="A19" s="41" t="s">
        <v>1000</v>
      </c>
      <c r="B19" s="41"/>
      <c r="C19" s="41"/>
      <c r="D19" s="41"/>
      <c r="E19" s="41"/>
      <c r="F19" s="41"/>
      <c r="G19" s="41"/>
      <c r="H19" s="41"/>
      <c r="I19" s="41"/>
    </row>
    <row r="20" customFormat="false" ht="15" hidden="false" customHeight="true" outlineLevel="0" collapsed="false">
      <c r="A20" s="8" t="s">
        <v>1001</v>
      </c>
      <c r="B20" s="8"/>
      <c r="C20" s="8"/>
      <c r="D20" s="8"/>
      <c r="E20" s="8"/>
      <c r="F20" s="8"/>
      <c r="G20" s="8"/>
      <c r="H20" s="8"/>
      <c r="I20" s="8"/>
    </row>
    <row r="21" customFormat="false" ht="15" hidden="false" customHeight="false" outlineLevel="0" collapsed="false">
      <c r="A21" s="30" t="s">
        <v>1002</v>
      </c>
      <c r="B21" s="43" t="n">
        <v>1</v>
      </c>
      <c r="C21" s="2" t="s">
        <v>1003</v>
      </c>
    </row>
    <row r="22" customFormat="false" ht="15" hidden="false" customHeight="false" outlineLevel="0" collapsed="false">
      <c r="A22" s="30" t="s">
        <v>1004</v>
      </c>
      <c r="B22" s="43" t="n">
        <v>1.5</v>
      </c>
      <c r="C22" s="2" t="s">
        <v>1005</v>
      </c>
    </row>
    <row r="23" customFormat="false" ht="15" hidden="false" customHeight="false" outlineLevel="0" collapsed="false">
      <c r="A23" s="30" t="s">
        <v>1006</v>
      </c>
      <c r="B23" s="43" t="n">
        <v>20</v>
      </c>
      <c r="C23" s="2" t="s">
        <v>874</v>
      </c>
    </row>
    <row r="24" customFormat="false" ht="15" hidden="false" customHeight="false" outlineLevel="0" collapsed="false">
      <c r="A24" s="30" t="s">
        <v>1007</v>
      </c>
      <c r="B24" s="43" t="n">
        <v>8</v>
      </c>
      <c r="C24" s="2" t="s">
        <v>869</v>
      </c>
    </row>
    <row r="25" customFormat="false" ht="15" hidden="false" customHeight="false" outlineLevel="0" collapsed="false">
      <c r="A25" s="30" t="s">
        <v>1008</v>
      </c>
      <c r="B25" s="43" t="n">
        <v>1</v>
      </c>
      <c r="C25" s="2" t="s">
        <v>1009</v>
      </c>
    </row>
    <row r="26" customFormat="false" ht="15" hidden="false" customHeight="false" outlineLevel="0" collapsed="false">
      <c r="A26" s="30" t="s">
        <v>1010</v>
      </c>
      <c r="B26" s="43" t="n">
        <v>7</v>
      </c>
      <c r="C26" s="2" t="s">
        <v>1011</v>
      </c>
    </row>
    <row r="28" customFormat="false" ht="15" hidden="false" customHeight="false" outlineLevel="0" collapsed="false">
      <c r="A28" s="45" t="s">
        <v>1012</v>
      </c>
      <c r="B28" s="45" t="s">
        <v>1013</v>
      </c>
      <c r="C28" s="45" t="s">
        <v>1014</v>
      </c>
      <c r="D28" s="45" t="s">
        <v>1015</v>
      </c>
      <c r="E28" s="45" t="s">
        <v>1016</v>
      </c>
      <c r="F28" s="45" t="s">
        <v>1014</v>
      </c>
      <c r="G28" s="45" t="s">
        <v>1015</v>
      </c>
    </row>
    <row r="29" customFormat="false" ht="15" hidden="false" customHeight="false" outlineLevel="0" collapsed="false">
      <c r="A29" s="12" t="n">
        <v>0</v>
      </c>
      <c r="B29" s="48" t="n">
        <f aca="false">$B$21*$B$23/(1+A29)^$B$22</f>
        <v>20</v>
      </c>
      <c r="C29" s="12" t="str">
        <f aca="false">IF(B29&gt;=10,"impossible",ROUNDUP(B29+0.01,1))</f>
        <v>impossible</v>
      </c>
      <c r="D29" s="12" t="n">
        <f aca="false">ROUNDUP($B$26/B29,0)</f>
        <v>1</v>
      </c>
      <c r="E29" s="48" t="n">
        <f aca="false">$B$21*$B$24/(1+A29)^$B$22</f>
        <v>8</v>
      </c>
      <c r="F29" s="12" t="n">
        <f aca="false">IF(E29&gt;=10,"impossible",ROUNDUP(E29+0.01,1))</f>
        <v>8.1</v>
      </c>
      <c r="G29" s="12" t="n">
        <f aca="false">ROUNDUP($B$26/E29,0)</f>
        <v>1</v>
      </c>
    </row>
    <row r="30" customFormat="false" ht="15" hidden="false" customHeight="false" outlineLevel="0" collapsed="false">
      <c r="A30" s="12" t="n">
        <v>1</v>
      </c>
      <c r="B30" s="48" t="n">
        <f aca="false">$B$21*$B$23/(1+A30)^$B$22</f>
        <v>7.07106781186548</v>
      </c>
      <c r="C30" s="12" t="n">
        <f aca="false">IF(B30&gt;=10,"impossible",ROUNDUP(B30+0.01,1))</f>
        <v>7.1</v>
      </c>
      <c r="D30" s="12" t="n">
        <f aca="false">ROUNDUP($B$26/B30,0)</f>
        <v>1</v>
      </c>
      <c r="E30" s="48" t="n">
        <f aca="false">$B$21*$B$24/(1+A30)^$B$22</f>
        <v>2.82842712474619</v>
      </c>
      <c r="F30" s="12" t="n">
        <f aca="false">IF(E30&gt;=10,"impossible",ROUNDUP(E30+0.01,1))</f>
        <v>2.9</v>
      </c>
      <c r="G30" s="12" t="n">
        <f aca="false">ROUNDUP($B$26/E30,0)</f>
        <v>3</v>
      </c>
    </row>
    <row r="31" customFormat="false" ht="15" hidden="false" customHeight="false" outlineLevel="0" collapsed="false">
      <c r="A31" s="12" t="n">
        <v>2</v>
      </c>
      <c r="B31" s="48" t="n">
        <f aca="false">$B$21*$B$23/(1+A31)^$B$22</f>
        <v>3.84900179459751</v>
      </c>
      <c r="C31" s="12" t="n">
        <f aca="false">IF(B31&gt;=10,"impossible",ROUNDUP(B31+0.01,1))</f>
        <v>3.9</v>
      </c>
      <c r="D31" s="12" t="n">
        <f aca="false">ROUNDUP($B$26/B31,0)</f>
        <v>2</v>
      </c>
      <c r="E31" s="48" t="n">
        <f aca="false">$B$21*$B$24/(1+A31)^$B$22</f>
        <v>1.539600717839</v>
      </c>
      <c r="F31" s="12" t="n">
        <f aca="false">IF(E31&gt;=10,"impossible",ROUNDUP(E31+0.01,1))</f>
        <v>1.6</v>
      </c>
      <c r="G31" s="12" t="n">
        <f aca="false">ROUNDUP($B$26/E31,0)</f>
        <v>5</v>
      </c>
    </row>
    <row r="32" customFormat="false" ht="15" hidden="false" customHeight="false" outlineLevel="0" collapsed="false">
      <c r="A32" s="12" t="n">
        <v>3</v>
      </c>
      <c r="B32" s="48" t="n">
        <f aca="false">$B$21*$B$23/(1+A32)^$B$22</f>
        <v>2.5</v>
      </c>
      <c r="C32" s="12" t="n">
        <f aca="false">IF(B32&gt;=10,"impossible",ROUNDUP(B32+0.01,1))</f>
        <v>2.6</v>
      </c>
      <c r="D32" s="12" t="n">
        <f aca="false">ROUNDUP($B$26/B32,0)</f>
        <v>3</v>
      </c>
      <c r="E32" s="48" t="n">
        <f aca="false">$B$21*$B$24/(1+A32)^$B$22</f>
        <v>1</v>
      </c>
      <c r="F32" s="12" t="n">
        <f aca="false">IF(E32&gt;=10,"impossible",ROUNDUP(E32+0.01,1))</f>
        <v>1.1</v>
      </c>
      <c r="G32" s="12" t="n">
        <f aca="false">ROUNDUP($B$26/E32,0)</f>
        <v>7</v>
      </c>
    </row>
    <row r="33" customFormat="false" ht="15" hidden="false" customHeight="false" outlineLevel="0" collapsed="false">
      <c r="A33" s="12" t="n">
        <v>4</v>
      </c>
      <c r="B33" s="48" t="n">
        <f aca="false">$B$21*$B$23/(1+A33)^$B$22</f>
        <v>1.78885438199983</v>
      </c>
      <c r="C33" s="12" t="n">
        <f aca="false">IF(B33&gt;=10,"impossible",ROUNDUP(B33+0.01,1))</f>
        <v>1.8</v>
      </c>
      <c r="D33" s="12" t="n">
        <f aca="false">ROUNDUP($B$26/B33,0)</f>
        <v>4</v>
      </c>
      <c r="E33" s="48" t="n">
        <f aca="false">$B$21*$B$24/(1+A33)^$B$22</f>
        <v>0.715541752799933</v>
      </c>
      <c r="F33" s="12" t="n">
        <f aca="false">IF(E33&gt;=10,"impossible",ROUNDUP(E33+0.01,1))</f>
        <v>0.8</v>
      </c>
      <c r="G33" s="12" t="n">
        <f aca="false">ROUNDUP($B$26/E33,0)</f>
        <v>10</v>
      </c>
    </row>
    <row r="34" customFormat="false" ht="15" hidden="false" customHeight="false" outlineLevel="0" collapsed="false">
      <c r="A34" s="12" t="n">
        <v>5</v>
      </c>
      <c r="B34" s="48" t="n">
        <f aca="false">$B$21*$B$23/(1+A34)^$B$22</f>
        <v>1.36082763487954</v>
      </c>
      <c r="C34" s="12" t="n">
        <f aca="false">IF(B34&gt;=10,"impossible",ROUNDUP(B34+0.01,1))</f>
        <v>1.4</v>
      </c>
      <c r="D34" s="12" t="n">
        <f aca="false">ROUNDUP($B$26/B34,0)</f>
        <v>6</v>
      </c>
      <c r="E34" s="48" t="n">
        <f aca="false">$B$21*$B$24/(1+A34)^$B$22</f>
        <v>0.544331053951817</v>
      </c>
      <c r="F34" s="12" t="n">
        <f aca="false">IF(E34&gt;=10,"impossible",ROUNDUP(E34+0.01,1))</f>
        <v>0.6</v>
      </c>
      <c r="G34" s="12" t="n">
        <f aca="false">ROUNDUP($B$26/E34,0)</f>
        <v>13</v>
      </c>
    </row>
    <row r="35" customFormat="false" ht="15" hidden="false" customHeight="false" outlineLevel="0" collapsed="false">
      <c r="A35" s="12" t="n">
        <v>6</v>
      </c>
      <c r="B35" s="48" t="n">
        <f aca="false">$B$21*$B$23/(1+A35)^$B$22</f>
        <v>1.07989849431208</v>
      </c>
      <c r="C35" s="12" t="n">
        <f aca="false">IF(B35&gt;=10,"impossible",ROUNDUP(B35+0.01,1))</f>
        <v>1.1</v>
      </c>
      <c r="D35" s="12" t="n">
        <f aca="false">ROUNDUP($B$26/B35,0)</f>
        <v>7</v>
      </c>
      <c r="E35" s="48" t="n">
        <f aca="false">$B$21*$B$24/(1+A35)^$B$22</f>
        <v>0.431959397724831</v>
      </c>
      <c r="F35" s="12" t="n">
        <f aca="false">IF(E35&gt;=10,"impossible",ROUNDUP(E35+0.01,1))</f>
        <v>0.5</v>
      </c>
      <c r="G35" s="12" t="n">
        <f aca="false">ROUNDUP($B$26/E35,0)</f>
        <v>17</v>
      </c>
    </row>
    <row r="36" customFormat="false" ht="15" hidden="false" customHeight="false" outlineLevel="0" collapsed="false">
      <c r="A36" s="12" t="n">
        <v>7</v>
      </c>
      <c r="B36" s="48" t="n">
        <f aca="false">$B$21*$B$23/(1+A36)^$B$22</f>
        <v>0.883883476483184</v>
      </c>
      <c r="C36" s="12" t="n">
        <f aca="false">IF(B36&gt;=10,"impossible",ROUNDUP(B36+0.01,1))</f>
        <v>0.9</v>
      </c>
      <c r="D36" s="12" t="n">
        <f aca="false">ROUNDUP($B$26/B36,0)</f>
        <v>8</v>
      </c>
      <c r="E36" s="48" t="n">
        <f aca="false">$B$21*$B$24/(1+A36)^$B$22</f>
        <v>0.353553390593274</v>
      </c>
      <c r="F36" s="12" t="n">
        <f aca="false">IF(E36&gt;=10,"impossible",ROUNDUP(E36+0.01,1))</f>
        <v>0.4</v>
      </c>
      <c r="G36" s="12" t="n">
        <f aca="false">ROUNDUP($B$26/E36,0)</f>
        <v>20</v>
      </c>
    </row>
    <row r="37" customFormat="false" ht="15" hidden="false" customHeight="false" outlineLevel="0" collapsed="false">
      <c r="A37" s="12" t="n">
        <v>8</v>
      </c>
      <c r="B37" s="48" t="n">
        <f aca="false">$B$21*$B$23/(1+A37)^$B$22</f>
        <v>0.740740740740741</v>
      </c>
      <c r="C37" s="12" t="n">
        <f aca="false">IF(B37&gt;=10,"impossible",ROUNDUP(B37+0.01,1))</f>
        <v>0.8</v>
      </c>
      <c r="D37" s="12" t="n">
        <f aca="false">ROUNDUP($B$26/B37,0)</f>
        <v>10</v>
      </c>
      <c r="E37" s="48" t="n">
        <f aca="false">$B$21*$B$24/(1+A37)^$B$22</f>
        <v>0.296296296296296</v>
      </c>
      <c r="F37" s="12" t="n">
        <f aca="false">IF(E37&gt;=10,"impossible",ROUNDUP(E37+0.01,1))</f>
        <v>0.4</v>
      </c>
      <c r="G37" s="12" t="n">
        <f aca="false">ROUNDUP($B$26/E37,0)</f>
        <v>24</v>
      </c>
    </row>
    <row r="38" customFormat="false" ht="15" hidden="false" customHeight="false" outlineLevel="0" collapsed="false">
      <c r="A38" s="12" t="n">
        <v>9</v>
      </c>
      <c r="B38" s="48" t="n">
        <f aca="false">$B$21*$B$23/(1+A38)^$B$22</f>
        <v>0.632455532033676</v>
      </c>
      <c r="C38" s="12" t="n">
        <f aca="false">IF(B38&gt;=10,"impossible",ROUNDUP(B38+0.01,1))</f>
        <v>0.7</v>
      </c>
      <c r="D38" s="12" t="n">
        <f aca="false">ROUNDUP($B$26/B38,0)</f>
        <v>12</v>
      </c>
      <c r="E38" s="48" t="n">
        <f aca="false">$B$21*$B$24/(1+A38)^$B$22</f>
        <v>0.25298221281347</v>
      </c>
      <c r="F38" s="12" t="n">
        <f aca="false">IF(E38&gt;=10,"impossible",ROUNDUP(E38+0.01,1))</f>
        <v>0.3</v>
      </c>
      <c r="G38" s="12" t="n">
        <f aca="false">ROUNDUP($B$26/E38,0)</f>
        <v>28</v>
      </c>
    </row>
    <row r="39" customFormat="false" ht="15" hidden="false" customHeight="false" outlineLevel="0" collapsed="false">
      <c r="A39" s="12" t="n">
        <v>10</v>
      </c>
      <c r="B39" s="48" t="n">
        <f aca="false">$B$21*$B$23/(1+A39)^$B$22</f>
        <v>0.548202444686843</v>
      </c>
      <c r="C39" s="12" t="n">
        <f aca="false">IF(B39&gt;=10,"impossible",ROUNDUP(B39+0.01,1))</f>
        <v>0.6</v>
      </c>
      <c r="D39" s="12" t="n">
        <f aca="false">ROUNDUP($B$26/B39,0)</f>
        <v>13</v>
      </c>
      <c r="E39" s="48" t="n">
        <f aca="false">$B$21*$B$24/(1+A39)^$B$22</f>
        <v>0.219280977874737</v>
      </c>
      <c r="F39" s="12" t="n">
        <f aca="false">IF(E39&gt;=10,"impossible",ROUNDUP(E39+0.01,1))</f>
        <v>0.3</v>
      </c>
      <c r="G39" s="12" t="n">
        <f aca="false">ROUNDUP($B$26/E39,0)</f>
        <v>32</v>
      </c>
    </row>
    <row r="40" customFormat="false" ht="15" hidden="false" customHeight="false" outlineLevel="0" collapsed="false">
      <c r="A40" s="12" t="n">
        <v>11</v>
      </c>
      <c r="B40" s="48" t="n">
        <f aca="false">$B$21*$B$23/(1+A40)^$B$22</f>
        <v>0.481125224324688</v>
      </c>
      <c r="C40" s="12" t="n">
        <f aca="false">IF(B40&gt;=10,"impossible",ROUNDUP(B40+0.01,1))</f>
        <v>0.5</v>
      </c>
      <c r="D40" s="12" t="n">
        <f aca="false">ROUNDUP($B$26/B40,0)</f>
        <v>15</v>
      </c>
      <c r="E40" s="48" t="n">
        <f aca="false">$B$21*$B$24/(1+A40)^$B$22</f>
        <v>0.192450089729875</v>
      </c>
      <c r="F40" s="12" t="n">
        <f aca="false">IF(E40&gt;=10,"impossible",ROUNDUP(E40+0.01,1))</f>
        <v>0.3</v>
      </c>
      <c r="G40" s="12" t="n">
        <f aca="false">ROUNDUP($B$26/E40,0)</f>
        <v>37</v>
      </c>
    </row>
    <row r="41" customFormat="false" ht="15" hidden="false" customHeight="false" outlineLevel="0" collapsed="false">
      <c r="A41" s="12" t="n">
        <v>12</v>
      </c>
      <c r="B41" s="48" t="n">
        <f aca="false">$B$21*$B$23/(1+A41)^$B$22</f>
        <v>0.426692458634792</v>
      </c>
      <c r="C41" s="12" t="n">
        <f aca="false">IF(B41&gt;=10,"impossible",ROUNDUP(B41+0.01,1))</f>
        <v>0.5</v>
      </c>
      <c r="D41" s="12" t="n">
        <f aca="false">ROUNDUP($B$26/B41,0)</f>
        <v>17</v>
      </c>
      <c r="E41" s="48" t="n">
        <f aca="false">$B$21*$B$24/(1+A41)^$B$22</f>
        <v>0.170676983453917</v>
      </c>
      <c r="F41" s="12" t="n">
        <f aca="false">IF(E41&gt;=10,"impossible",ROUNDUP(E41+0.01,1))</f>
        <v>0.2</v>
      </c>
      <c r="G41" s="12" t="n">
        <f aca="false">ROUNDUP($B$26/E41,0)</f>
        <v>42</v>
      </c>
    </row>
    <row r="42" customFormat="false" ht="15" hidden="false" customHeight="false" outlineLevel="0" collapsed="false">
      <c r="A42" s="30" t="s">
        <v>1017</v>
      </c>
      <c r="C42" s="49" t="n">
        <f aca="false">$B$21*$B$25</f>
        <v>1</v>
      </c>
      <c r="D42" s="49" t="n">
        <f aca="false">ROUNDUP($B$26/C42,0)</f>
        <v>7</v>
      </c>
      <c r="E42" s="2" t="s">
        <v>1018</v>
      </c>
    </row>
  </sheetData>
  <autoFilter ref="A6:I17"/>
  <mergeCells count="3">
    <mergeCell ref="A5:I5"/>
    <mergeCell ref="A19:I19"/>
    <mergeCell ref="A20:I20"/>
  </mergeCells>
  <conditionalFormatting sqref="I7:I17">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I7:I17"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18"/>
    <col collapsed="false" customWidth="true" hidden="false" outlineLevel="0" max="4" min="4" style="0" width="40"/>
    <col collapsed="false" customWidth="true" hidden="false" outlineLevel="0" max="5" min="5" style="0" width="36"/>
    <col collapsed="false" customWidth="true" hidden="false" outlineLevel="0" max="6" min="6" style="0" width="10"/>
    <col collapsed="false" customWidth="true" hidden="false" outlineLevel="0" max="7" min="7" style="0" width="14"/>
    <col collapsed="false" customWidth="true" hidden="false" outlineLevel="0" max="8" min="8" style="0" width="13"/>
  </cols>
  <sheetData>
    <row r="1" customFormat="false" ht="17.35" hidden="false" customHeight="false" outlineLevel="0" collapsed="false">
      <c r="A1" s="1" t="s">
        <v>1019</v>
      </c>
    </row>
    <row r="2" customFormat="false" ht="15" hidden="false" customHeight="false" outlineLevel="0" collapsed="false">
      <c r="A2" s="2" t="s">
        <v>1020</v>
      </c>
    </row>
    <row r="3" customFormat="false" ht="15" hidden="false" customHeight="false" outlineLevel="0" collapsed="false">
      <c r="A3" s="3" t="str">
        <f aca="false">HYPERLINK("#'0 Index'!A1","↩ Index")</f>
        <v>↩ Index</v>
      </c>
    </row>
    <row r="5" customFormat="false" ht="15" hidden="false" customHeight="false" outlineLevel="0" collapsed="false">
      <c r="A5" s="50" t="s">
        <v>1021</v>
      </c>
      <c r="B5" s="50"/>
      <c r="C5" s="50"/>
      <c r="D5" s="50"/>
      <c r="E5" s="50"/>
      <c r="F5" s="50"/>
      <c r="G5" s="50"/>
      <c r="H5" s="50"/>
    </row>
    <row r="6" customFormat="false" ht="15" hidden="false" customHeight="false" outlineLevel="0" collapsed="false">
      <c r="A6" s="51" t="s">
        <v>89</v>
      </c>
      <c r="B6" s="51" t="s">
        <v>1022</v>
      </c>
      <c r="C6" s="51" t="s">
        <v>860</v>
      </c>
      <c r="D6" s="51" t="s">
        <v>1023</v>
      </c>
      <c r="E6" s="51" t="s">
        <v>240</v>
      </c>
      <c r="F6" s="51" t="s">
        <v>79</v>
      </c>
      <c r="G6" s="51" t="s">
        <v>77</v>
      </c>
      <c r="H6" s="51" t="s">
        <v>75</v>
      </c>
    </row>
    <row r="7" customFormat="false" ht="15" hidden="false" customHeight="false" outlineLevel="0" collapsed="false">
      <c r="A7" s="6" t="s">
        <v>1024</v>
      </c>
      <c r="B7" s="6" t="s">
        <v>1025</v>
      </c>
      <c r="C7" s="6" t="s">
        <v>1026</v>
      </c>
      <c r="D7" s="6" t="s">
        <v>1027</v>
      </c>
      <c r="E7" s="6" t="s">
        <v>1028</v>
      </c>
      <c r="F7" s="6" t="s">
        <v>116</v>
      </c>
      <c r="G7" s="6" t="s">
        <v>1029</v>
      </c>
      <c r="H7" s="6" t="s">
        <v>33</v>
      </c>
    </row>
    <row r="8" customFormat="false" ht="35.05" hidden="false" customHeight="false" outlineLevel="0" collapsed="false">
      <c r="A8" s="6" t="s">
        <v>1030</v>
      </c>
      <c r="B8" s="6" t="s">
        <v>1031</v>
      </c>
      <c r="C8" s="6" t="s">
        <v>1032</v>
      </c>
      <c r="D8" s="6" t="s">
        <v>1033</v>
      </c>
      <c r="E8" s="6" t="s">
        <v>1034</v>
      </c>
      <c r="F8" s="6" t="s">
        <v>116</v>
      </c>
      <c r="G8" s="6" t="s">
        <v>1029</v>
      </c>
      <c r="H8" s="6" t="s">
        <v>33</v>
      </c>
    </row>
    <row r="9" customFormat="false" ht="35.05" hidden="false" customHeight="false" outlineLevel="0" collapsed="false">
      <c r="A9" s="6" t="s">
        <v>1035</v>
      </c>
      <c r="B9" s="6" t="s">
        <v>1036</v>
      </c>
      <c r="C9" s="6" t="s">
        <v>1037</v>
      </c>
      <c r="D9" s="6" t="s">
        <v>1038</v>
      </c>
      <c r="E9" s="6" t="s">
        <v>1039</v>
      </c>
      <c r="F9" s="6" t="s">
        <v>1040</v>
      </c>
      <c r="G9" s="6" t="s">
        <v>1041</v>
      </c>
      <c r="H9" s="6" t="s">
        <v>33</v>
      </c>
    </row>
    <row r="10" customFormat="false" ht="23.85" hidden="false" customHeight="false" outlineLevel="0" collapsed="false">
      <c r="A10" s="6" t="s">
        <v>1042</v>
      </c>
      <c r="B10" s="6" t="s">
        <v>1043</v>
      </c>
      <c r="C10" s="6" t="s">
        <v>1032</v>
      </c>
      <c r="D10" s="6" t="s">
        <v>1044</v>
      </c>
      <c r="E10" s="6"/>
      <c r="F10" s="6" t="s">
        <v>175</v>
      </c>
      <c r="G10" s="6" t="s">
        <v>1045</v>
      </c>
      <c r="H10" s="6" t="s">
        <v>32</v>
      </c>
    </row>
    <row r="11" customFormat="false" ht="23.85" hidden="false" customHeight="false" outlineLevel="0" collapsed="false">
      <c r="A11" s="6" t="s">
        <v>1046</v>
      </c>
      <c r="B11" s="6" t="s">
        <v>1047</v>
      </c>
      <c r="C11" s="6" t="s">
        <v>1032</v>
      </c>
      <c r="D11" s="6" t="s">
        <v>1048</v>
      </c>
      <c r="E11" s="6"/>
      <c r="F11" s="6" t="s">
        <v>175</v>
      </c>
      <c r="G11" s="6" t="s">
        <v>1049</v>
      </c>
      <c r="H11" s="6" t="s">
        <v>32</v>
      </c>
    </row>
    <row r="12" customFormat="false" ht="15" hidden="false" customHeight="false" outlineLevel="0" collapsed="false">
      <c r="A12" s="6" t="s">
        <v>1050</v>
      </c>
      <c r="B12" s="6" t="s">
        <v>1051</v>
      </c>
      <c r="C12" s="6" t="s">
        <v>764</v>
      </c>
      <c r="D12" s="6" t="s">
        <v>1052</v>
      </c>
      <c r="E12" s="6"/>
      <c r="F12" s="6"/>
      <c r="G12" s="6" t="s">
        <v>1053</v>
      </c>
      <c r="H12" s="6" t="s">
        <v>32</v>
      </c>
    </row>
    <row r="13" customFormat="false" ht="15" hidden="false" customHeight="false" outlineLevel="0" collapsed="false">
      <c r="A13" s="6" t="s">
        <v>1054</v>
      </c>
      <c r="B13" s="6" t="s">
        <v>1055</v>
      </c>
      <c r="C13" s="6" t="s">
        <v>1056</v>
      </c>
      <c r="D13" s="6" t="s">
        <v>1057</v>
      </c>
      <c r="E13" s="6"/>
      <c r="F13" s="6" t="s">
        <v>969</v>
      </c>
      <c r="G13" s="6" t="s">
        <v>995</v>
      </c>
      <c r="H13" s="6" t="s">
        <v>32</v>
      </c>
    </row>
    <row r="14" customFormat="false" ht="15" hidden="false" customHeight="false" outlineLevel="0" collapsed="false">
      <c r="A14" s="6" t="s">
        <v>1058</v>
      </c>
      <c r="B14" s="6" t="s">
        <v>1059</v>
      </c>
      <c r="C14" s="6" t="s">
        <v>1060</v>
      </c>
      <c r="D14" s="6" t="s">
        <v>1061</v>
      </c>
      <c r="E14" s="6"/>
      <c r="F14" s="6"/>
      <c r="G14" s="6" t="s">
        <v>328</v>
      </c>
      <c r="H14" s="6" t="s">
        <v>35</v>
      </c>
    </row>
    <row r="15" customFormat="false" ht="23.85" hidden="false" customHeight="false" outlineLevel="0" collapsed="false">
      <c r="A15" s="6" t="s">
        <v>1062</v>
      </c>
      <c r="B15" s="6" t="s">
        <v>1063</v>
      </c>
      <c r="C15" s="6" t="s">
        <v>1064</v>
      </c>
      <c r="D15" s="6"/>
      <c r="E15" s="6"/>
      <c r="F15" s="6"/>
      <c r="G15" s="6" t="s">
        <v>1065</v>
      </c>
      <c r="H15" s="6" t="s">
        <v>32</v>
      </c>
    </row>
    <row r="16" customFormat="false" ht="23.85" hidden="false" customHeight="false" outlineLevel="0" collapsed="false">
      <c r="A16" s="6" t="s">
        <v>1066</v>
      </c>
      <c r="B16" s="6" t="s">
        <v>1067</v>
      </c>
      <c r="C16" s="6" t="s">
        <v>1068</v>
      </c>
      <c r="D16" s="6" t="s">
        <v>1069</v>
      </c>
      <c r="E16" s="6"/>
      <c r="F16" s="6" t="s">
        <v>406</v>
      </c>
      <c r="G16" s="6" t="s">
        <v>682</v>
      </c>
      <c r="H16" s="6" t="s">
        <v>32</v>
      </c>
    </row>
    <row r="17" customFormat="false" ht="15" hidden="false" customHeight="false" outlineLevel="0" collapsed="false">
      <c r="A17" s="6"/>
      <c r="B17" s="6"/>
      <c r="C17" s="6"/>
      <c r="D17" s="6"/>
      <c r="E17" s="6"/>
      <c r="F17" s="6"/>
      <c r="G17" s="6"/>
      <c r="H17" s="6"/>
    </row>
    <row r="19" customFormat="false" ht="15" hidden="false" customHeight="false" outlineLevel="0" collapsed="false">
      <c r="A19" s="50" t="s">
        <v>1070</v>
      </c>
      <c r="B19" s="50"/>
      <c r="C19" s="50"/>
      <c r="D19" s="50"/>
      <c r="E19" s="50"/>
      <c r="F19" s="50"/>
      <c r="G19" s="50"/>
      <c r="H19" s="50"/>
    </row>
    <row r="20" customFormat="false" ht="23.85" hidden="false" customHeight="false" outlineLevel="0" collapsed="false">
      <c r="A20" s="51" t="s">
        <v>89</v>
      </c>
      <c r="B20" s="51" t="s">
        <v>1071</v>
      </c>
      <c r="C20" s="51" t="s">
        <v>1072</v>
      </c>
      <c r="D20" s="51" t="s">
        <v>1073</v>
      </c>
      <c r="E20" s="51" t="s">
        <v>240</v>
      </c>
      <c r="F20" s="51" t="s">
        <v>79</v>
      </c>
      <c r="G20" s="51" t="s">
        <v>77</v>
      </c>
      <c r="H20" s="51" t="s">
        <v>75</v>
      </c>
    </row>
    <row r="21" customFormat="false" ht="46.25" hidden="false" customHeight="false" outlineLevel="0" collapsed="false">
      <c r="A21" s="6" t="s">
        <v>1074</v>
      </c>
      <c r="B21" s="6" t="s">
        <v>1075</v>
      </c>
      <c r="C21" s="6" t="s">
        <v>1076</v>
      </c>
      <c r="D21" s="6" t="s">
        <v>1077</v>
      </c>
      <c r="E21" s="6" t="s">
        <v>1078</v>
      </c>
      <c r="F21" s="6" t="s">
        <v>175</v>
      </c>
      <c r="G21" s="6" t="s">
        <v>1079</v>
      </c>
      <c r="H21" s="6" t="s">
        <v>32</v>
      </c>
    </row>
    <row r="22" customFormat="false" ht="79.85" hidden="false" customHeight="false" outlineLevel="0" collapsed="false">
      <c r="A22" s="6" t="s">
        <v>1080</v>
      </c>
      <c r="B22" s="6" t="s">
        <v>1081</v>
      </c>
      <c r="C22" s="6" t="s">
        <v>1082</v>
      </c>
      <c r="D22" s="6" t="s">
        <v>1083</v>
      </c>
      <c r="E22" s="6" t="s">
        <v>1084</v>
      </c>
      <c r="F22" s="6" t="s">
        <v>175</v>
      </c>
      <c r="G22" s="6" t="s">
        <v>904</v>
      </c>
      <c r="H22" s="6" t="s">
        <v>33</v>
      </c>
    </row>
    <row r="23" customFormat="false" ht="46.25" hidden="false" customHeight="false" outlineLevel="0" collapsed="false">
      <c r="A23" s="6" t="s">
        <v>1085</v>
      </c>
      <c r="B23" s="6" t="s">
        <v>1086</v>
      </c>
      <c r="C23" s="6" t="s">
        <v>1087</v>
      </c>
      <c r="D23" s="6"/>
      <c r="E23" s="6"/>
      <c r="F23" s="6" t="s">
        <v>175</v>
      </c>
      <c r="G23" s="6" t="s">
        <v>104</v>
      </c>
      <c r="H23" s="6" t="s">
        <v>33</v>
      </c>
    </row>
    <row r="24" customFormat="false" ht="46.25" hidden="false" customHeight="false" outlineLevel="0" collapsed="false">
      <c r="A24" s="6" t="s">
        <v>1088</v>
      </c>
      <c r="B24" s="6" t="s">
        <v>1089</v>
      </c>
      <c r="C24" s="6" t="s">
        <v>1090</v>
      </c>
      <c r="D24" s="6"/>
      <c r="E24" s="6"/>
      <c r="F24" s="6" t="s">
        <v>191</v>
      </c>
      <c r="G24" s="6" t="s">
        <v>104</v>
      </c>
      <c r="H24" s="6" t="s">
        <v>33</v>
      </c>
    </row>
    <row r="25" customFormat="false" ht="23.85" hidden="false" customHeight="false" outlineLevel="0" collapsed="false">
      <c r="A25" s="6" t="s">
        <v>1091</v>
      </c>
      <c r="B25" s="6" t="s">
        <v>1092</v>
      </c>
      <c r="C25" s="6" t="s">
        <v>1093</v>
      </c>
      <c r="D25" s="6"/>
      <c r="E25" s="6"/>
      <c r="F25" s="6" t="s">
        <v>175</v>
      </c>
      <c r="G25" s="6" t="s">
        <v>104</v>
      </c>
      <c r="H25" s="6" t="s">
        <v>33</v>
      </c>
    </row>
    <row r="26" customFormat="false" ht="57.45" hidden="false" customHeight="false" outlineLevel="0" collapsed="false">
      <c r="A26" s="6" t="s">
        <v>1094</v>
      </c>
      <c r="B26" s="6" t="s">
        <v>1095</v>
      </c>
      <c r="C26" s="6" t="s">
        <v>1096</v>
      </c>
      <c r="D26" s="6"/>
      <c r="E26" s="6"/>
      <c r="F26" s="6" t="s">
        <v>130</v>
      </c>
      <c r="G26" s="6" t="s">
        <v>104</v>
      </c>
      <c r="H26" s="6" t="s">
        <v>33</v>
      </c>
    </row>
    <row r="27" customFormat="false" ht="15" hidden="false" customHeight="false" outlineLevel="0" collapsed="false">
      <c r="A27" s="6"/>
      <c r="B27" s="6"/>
      <c r="C27" s="6"/>
      <c r="D27" s="6"/>
      <c r="E27" s="6"/>
      <c r="F27" s="6"/>
      <c r="G27" s="6"/>
      <c r="H27" s="6"/>
    </row>
    <row r="29" customFormat="false" ht="15" hidden="false" customHeight="false" outlineLevel="0" collapsed="false">
      <c r="A29" s="50" t="s">
        <v>1097</v>
      </c>
      <c r="B29" s="50"/>
      <c r="C29" s="50"/>
      <c r="D29" s="50"/>
      <c r="E29" s="50"/>
      <c r="F29" s="50"/>
      <c r="G29" s="50"/>
      <c r="H29" s="50"/>
    </row>
    <row r="30" customFormat="false" ht="15" hidden="false" customHeight="true" outlineLevel="0" collapsed="false">
      <c r="A30" s="8" t="s">
        <v>1098</v>
      </c>
      <c r="B30" s="8"/>
      <c r="C30" s="8"/>
      <c r="D30" s="8"/>
      <c r="E30" s="8"/>
      <c r="F30" s="8"/>
      <c r="G30" s="8"/>
      <c r="H30" s="8"/>
    </row>
    <row r="31" customFormat="false" ht="15" hidden="false" customHeight="false" outlineLevel="0" collapsed="false">
      <c r="A31" s="30" t="s">
        <v>1099</v>
      </c>
      <c r="B31" s="43" t="n">
        <v>16</v>
      </c>
      <c r="C31" s="2" t="s">
        <v>1100</v>
      </c>
    </row>
    <row r="32" customFormat="false" ht="15" hidden="false" customHeight="false" outlineLevel="0" collapsed="false">
      <c r="A32" s="30" t="s">
        <v>1101</v>
      </c>
      <c r="B32" s="43" t="n">
        <v>4</v>
      </c>
      <c r="C32" s="2" t="s">
        <v>1102</v>
      </c>
    </row>
    <row r="34" customFormat="false" ht="15" hidden="false" customHeight="false" outlineLevel="0" collapsed="false">
      <c r="A34" s="52" t="s">
        <v>1103</v>
      </c>
      <c r="B34" s="52" t="s">
        <v>1104</v>
      </c>
      <c r="C34" s="52" t="s">
        <v>1105</v>
      </c>
    </row>
    <row r="35" customFormat="false" ht="15" hidden="false" customHeight="false" outlineLevel="0" collapsed="false">
      <c r="A35" s="43" t="n">
        <v>1</v>
      </c>
      <c r="B35" s="46" t="n">
        <f aca="false">IF(A35&gt;=10,"anywhere",A35*$B$31^((A35/10)^$B$32))</f>
        <v>1.00027729731202</v>
      </c>
      <c r="C35" s="12"/>
    </row>
    <row r="36" customFormat="false" ht="15" hidden="false" customHeight="false" outlineLevel="0" collapsed="false">
      <c r="A36" s="43" t="n">
        <v>2</v>
      </c>
      <c r="B36" s="46" t="n">
        <f aca="false">IF(A36&gt;=10,"anywhere",A36*$B$31^((A36/10)^$B$32))</f>
        <v>2.00889199239906</v>
      </c>
      <c r="C36" s="12"/>
    </row>
    <row r="37" customFormat="false" ht="15" hidden="false" customHeight="false" outlineLevel="0" collapsed="false">
      <c r="A37" s="43" t="n">
        <v>3</v>
      </c>
      <c r="B37" s="46" t="n">
        <f aca="false">IF(A37&gt;=10,"anywhere",A37*$B$31^((A37/10)^$B$32))</f>
        <v>3.06813614187957</v>
      </c>
      <c r="C37" s="12"/>
    </row>
    <row r="38" customFormat="false" ht="15" hidden="false" customHeight="false" outlineLevel="0" collapsed="false">
      <c r="A38" s="43" t="n">
        <v>4</v>
      </c>
      <c r="B38" s="46" t="n">
        <f aca="false">IF(A38&gt;=10,"anywhere",A38*$B$31^((A38/10)^$B$32))</f>
        <v>4.29423159434386</v>
      </c>
      <c r="C38" s="12"/>
    </row>
    <row r="39" customFormat="false" ht="15" hidden="false" customHeight="false" outlineLevel="0" collapsed="false">
      <c r="A39" s="43" t="n">
        <v>5</v>
      </c>
      <c r="B39" s="46" t="n">
        <f aca="false">IF(A39&gt;=10,"anywhere",A39*$B$31^((A39/10)^$B$32))</f>
        <v>5.94603557501361</v>
      </c>
      <c r="C39" s="12"/>
    </row>
    <row r="40" customFormat="false" ht="15" hidden="false" customHeight="false" outlineLevel="0" collapsed="false">
      <c r="A40" s="43" t="n">
        <v>6</v>
      </c>
      <c r="B40" s="46" t="n">
        <f aca="false">IF(A40&gt;=10,"anywhere",A40*$B$31^((A40/10)^$B$32))</f>
        <v>8.59419493370383</v>
      </c>
      <c r="C40" s="12"/>
    </row>
    <row r="41" customFormat="false" ht="15" hidden="false" customHeight="false" outlineLevel="0" collapsed="false">
      <c r="A41" s="43" t="n">
        <v>7</v>
      </c>
      <c r="B41" s="46" t="n">
        <f aca="false">IF(A41&gt;=10,"anywhere",A41*$B$31^((A41/10)^$B$32))</f>
        <v>13.6209452682061</v>
      </c>
      <c r="C41" s="12"/>
    </row>
    <row r="42" customFormat="false" ht="15" hidden="false" customHeight="false" outlineLevel="0" collapsed="false">
      <c r="A42" s="43" t="n">
        <v>8</v>
      </c>
      <c r="B42" s="46" t="n">
        <f aca="false">IF(A42&gt;=10,"anywhere",A42*$B$31^((A42/10)^$B$32))</f>
        <v>24.9056299994687</v>
      </c>
      <c r="C42" s="12"/>
    </row>
    <row r="43" customFormat="false" ht="15" hidden="false" customHeight="false" outlineLevel="0" collapsed="false">
      <c r="A43" s="43" t="n">
        <v>9</v>
      </c>
      <c r="B43" s="46" t="n">
        <f aca="false">IF(A43&gt;=10,"anywhere",A43*$B$31^((A43/10)^$B$32))</f>
        <v>55.4965045671941</v>
      </c>
      <c r="C43" s="12"/>
    </row>
    <row r="44" customFormat="false" ht="15" hidden="false" customHeight="false" outlineLevel="0" collapsed="false">
      <c r="A44" s="43" t="n">
        <v>9.5</v>
      </c>
      <c r="B44" s="46" t="n">
        <f aca="false">IF(A44&gt;=10,"anywhere",A44*$B$31^((A44/10)^$B$32))</f>
        <v>90.8838794389598</v>
      </c>
      <c r="C44" s="12"/>
    </row>
    <row r="45" customFormat="false" ht="15" hidden="false" customHeight="false" outlineLevel="0" collapsed="false">
      <c r="A45" s="43" t="n">
        <v>9.9</v>
      </c>
      <c r="B45" s="46" t="n">
        <f aca="false">IF(A45&gt;=10,"anywhere",A45*$B$31^((A45/10)^$B$32))</f>
        <v>142.006441762231</v>
      </c>
      <c r="C45" s="12"/>
    </row>
    <row r="46" customFormat="false" ht="15" hidden="false" customHeight="false" outlineLevel="0" collapsed="false">
      <c r="A46" s="43" t="n">
        <v>9.99999</v>
      </c>
      <c r="B46" s="46" t="n">
        <f aca="false">IF(A46&gt;=10,"anywhere",A46*$B$31^((A46/10)^$B$32))</f>
        <v>159.998065557494</v>
      </c>
      <c r="C46" s="12" t="s">
        <v>1106</v>
      </c>
    </row>
    <row r="47" customFormat="false" ht="15" hidden="false" customHeight="false" outlineLevel="0" collapsed="false">
      <c r="A47" s="43" t="n">
        <v>10</v>
      </c>
      <c r="B47" s="46" t="str">
        <f aca="false">IF(A47&gt;=10,"anywhere",A47*$B$31^((A47/10)^$B$32))</f>
        <v>anywhere</v>
      </c>
      <c r="C47" s="12"/>
    </row>
    <row r="49" customFormat="false" ht="15" hidden="false" customHeight="false" outlineLevel="0" collapsed="false">
      <c r="A49" s="50" t="s">
        <v>1107</v>
      </c>
      <c r="B49" s="50"/>
      <c r="C49" s="50"/>
      <c r="D49" s="50"/>
      <c r="E49" s="50"/>
      <c r="F49" s="50"/>
      <c r="G49" s="50"/>
      <c r="H49" s="50"/>
    </row>
    <row r="50" customFormat="false" ht="15" hidden="false" customHeight="true" outlineLevel="0" collapsed="false">
      <c r="A50" s="8" t="s">
        <v>1108</v>
      </c>
      <c r="B50" s="8"/>
      <c r="C50" s="8"/>
      <c r="D50" s="8"/>
      <c r="E50" s="8"/>
      <c r="F50" s="8"/>
      <c r="G50" s="8"/>
      <c r="H50" s="8"/>
    </row>
    <row r="51" customFormat="false" ht="23.85" hidden="false" customHeight="false" outlineLevel="0" collapsed="false">
      <c r="A51" s="51" t="s">
        <v>89</v>
      </c>
      <c r="B51" s="51" t="s">
        <v>1109</v>
      </c>
      <c r="C51" s="51" t="s">
        <v>205</v>
      </c>
      <c r="D51" s="51" t="s">
        <v>1110</v>
      </c>
      <c r="E51" s="51" t="s">
        <v>240</v>
      </c>
      <c r="F51" s="51" t="s">
        <v>79</v>
      </c>
      <c r="G51" s="51" t="s">
        <v>77</v>
      </c>
      <c r="H51" s="51" t="s">
        <v>75</v>
      </c>
    </row>
    <row r="52" customFormat="false" ht="15" hidden="false" customHeight="false" outlineLevel="0" collapsed="false">
      <c r="A52" s="6" t="s">
        <v>1111</v>
      </c>
      <c r="B52" s="6" t="s">
        <v>1112</v>
      </c>
      <c r="C52" s="6" t="s">
        <v>1113</v>
      </c>
      <c r="D52" s="6" t="s">
        <v>1114</v>
      </c>
      <c r="E52" s="6" t="s">
        <v>1115</v>
      </c>
      <c r="F52" s="6"/>
      <c r="G52" s="6" t="s">
        <v>104</v>
      </c>
      <c r="H52" s="6" t="s">
        <v>33</v>
      </c>
    </row>
    <row r="53" customFormat="false" ht="15" hidden="false" customHeight="false" outlineLevel="0" collapsed="false">
      <c r="A53" s="6" t="s">
        <v>1116</v>
      </c>
      <c r="B53" s="6" t="s">
        <v>1117</v>
      </c>
      <c r="C53" s="6" t="s">
        <v>1118</v>
      </c>
      <c r="D53" s="6" t="s">
        <v>1119</v>
      </c>
      <c r="E53" s="6" t="s">
        <v>1120</v>
      </c>
      <c r="F53" s="6"/>
      <c r="G53" s="6" t="s">
        <v>104</v>
      </c>
      <c r="H53" s="6" t="s">
        <v>33</v>
      </c>
    </row>
    <row r="54" customFormat="false" ht="15" hidden="false" customHeight="false" outlineLevel="0" collapsed="false">
      <c r="A54" s="6" t="s">
        <v>1121</v>
      </c>
      <c r="B54" s="6" t="s">
        <v>1122</v>
      </c>
      <c r="C54" s="6" t="s">
        <v>1123</v>
      </c>
      <c r="D54" s="6" t="s">
        <v>1124</v>
      </c>
      <c r="E54" s="6" t="s">
        <v>1125</v>
      </c>
      <c r="F54" s="6" t="s">
        <v>705</v>
      </c>
      <c r="G54" s="6" t="s">
        <v>104</v>
      </c>
      <c r="H54" s="6" t="s">
        <v>33</v>
      </c>
    </row>
    <row r="55" customFormat="false" ht="15" hidden="false" customHeight="false" outlineLevel="0" collapsed="false">
      <c r="A55" s="6"/>
      <c r="B55" s="6"/>
      <c r="C55" s="6"/>
      <c r="D55" s="6"/>
      <c r="E55" s="6"/>
      <c r="F55" s="6"/>
      <c r="G55" s="6"/>
      <c r="H55" s="6"/>
    </row>
    <row r="56" customFormat="false" ht="15" hidden="false" customHeight="false" outlineLevel="0" collapsed="false">
      <c r="A56" s="6"/>
      <c r="B56" s="6"/>
      <c r="C56" s="6"/>
      <c r="D56" s="6"/>
      <c r="E56" s="6"/>
      <c r="F56" s="6"/>
      <c r="G56" s="6"/>
      <c r="H56" s="6"/>
    </row>
    <row r="57" customFormat="false" ht="15" hidden="false" customHeight="false" outlineLevel="0" collapsed="false">
      <c r="A57" s="6"/>
      <c r="B57" s="6"/>
      <c r="C57" s="6"/>
      <c r="D57" s="6"/>
      <c r="E57" s="6"/>
      <c r="F57" s="6"/>
      <c r="G57" s="6"/>
      <c r="H57" s="6"/>
    </row>
  </sheetData>
  <autoFilter ref="A6:H17"/>
  <mergeCells count="6">
    <mergeCell ref="A5:H5"/>
    <mergeCell ref="A19:H19"/>
    <mergeCell ref="A29:H29"/>
    <mergeCell ref="A30:H30"/>
    <mergeCell ref="A49:H49"/>
    <mergeCell ref="A50:H50"/>
  </mergeCells>
  <conditionalFormatting sqref="H7:H17">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H21:H27">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H52:H57">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H7:H17 H21:H27 H52:H57"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8"/>
    <col collapsed="false" customWidth="true" hidden="false" outlineLevel="0" max="4" min="4" style="0" width="40"/>
    <col collapsed="false" customWidth="true" hidden="false" outlineLevel="0" max="5" min="5" style="0" width="36"/>
    <col collapsed="false" customWidth="true" hidden="false" outlineLevel="0" max="6" min="6" style="0" width="10"/>
    <col collapsed="false" customWidth="true" hidden="false" outlineLevel="0" max="7" min="7" style="0" width="14"/>
    <col collapsed="false" customWidth="true" hidden="false" outlineLevel="0" max="8" min="8" style="0" width="13"/>
  </cols>
  <sheetData>
    <row r="1" customFormat="false" ht="17.35" hidden="false" customHeight="false" outlineLevel="0" collapsed="false">
      <c r="A1" s="1" t="s">
        <v>1126</v>
      </c>
    </row>
    <row r="2" customFormat="false" ht="15" hidden="false" customHeight="false" outlineLevel="0" collapsed="false">
      <c r="A2" s="2" t="s">
        <v>1127</v>
      </c>
    </row>
    <row r="3" customFormat="false" ht="15" hidden="false" customHeight="false" outlineLevel="0" collapsed="false">
      <c r="A3" s="3" t="str">
        <f aca="false">HYPERLINK("#'0 Index'!A1","↩ Index")</f>
        <v>↩ Index</v>
      </c>
    </row>
    <row r="5" customFormat="false" ht="15" hidden="false" customHeight="false" outlineLevel="0" collapsed="false">
      <c r="A5" s="50" t="s">
        <v>1128</v>
      </c>
      <c r="B5" s="50"/>
      <c r="C5" s="50"/>
      <c r="D5" s="50"/>
      <c r="E5" s="50"/>
      <c r="F5" s="50"/>
      <c r="G5" s="50"/>
      <c r="H5" s="50"/>
    </row>
    <row r="6" customFormat="false" ht="15" hidden="false" customHeight="false" outlineLevel="0" collapsed="false">
      <c r="A6" s="51" t="s">
        <v>89</v>
      </c>
      <c r="B6" s="51" t="s">
        <v>1022</v>
      </c>
      <c r="C6" s="51" t="s">
        <v>860</v>
      </c>
      <c r="D6" s="51" t="s">
        <v>1023</v>
      </c>
      <c r="E6" s="51" t="s">
        <v>240</v>
      </c>
      <c r="F6" s="51" t="s">
        <v>79</v>
      </c>
      <c r="G6" s="51" t="s">
        <v>77</v>
      </c>
      <c r="H6" s="51" t="s">
        <v>75</v>
      </c>
    </row>
    <row r="7" customFormat="false" ht="15" hidden="false" customHeight="false" outlineLevel="0" collapsed="false">
      <c r="A7" s="6" t="s">
        <v>1129</v>
      </c>
      <c r="B7" s="6" t="s">
        <v>1130</v>
      </c>
      <c r="C7" s="6" t="s">
        <v>1060</v>
      </c>
      <c r="D7" s="6"/>
      <c r="E7" s="6"/>
      <c r="F7" s="6"/>
      <c r="G7" s="6" t="s">
        <v>1131</v>
      </c>
      <c r="H7" s="6" t="s">
        <v>32</v>
      </c>
    </row>
    <row r="8" customFormat="false" ht="23.85" hidden="false" customHeight="false" outlineLevel="0" collapsed="false">
      <c r="A8" s="6" t="s">
        <v>1132</v>
      </c>
      <c r="B8" s="6" t="s">
        <v>1133</v>
      </c>
      <c r="C8" s="6" t="s">
        <v>1134</v>
      </c>
      <c r="D8" s="6" t="s">
        <v>1135</v>
      </c>
      <c r="E8" s="6" t="s">
        <v>1136</v>
      </c>
      <c r="F8" s="6" t="s">
        <v>406</v>
      </c>
      <c r="G8" s="6" t="s">
        <v>1137</v>
      </c>
      <c r="H8" s="6" t="s">
        <v>33</v>
      </c>
    </row>
    <row r="9" customFormat="false" ht="15" hidden="false" customHeight="false" outlineLevel="0" collapsed="false">
      <c r="A9" s="6" t="s">
        <v>1138</v>
      </c>
      <c r="B9" s="6" t="s">
        <v>1139</v>
      </c>
      <c r="C9" s="6" t="s">
        <v>1134</v>
      </c>
      <c r="D9" s="6" t="s">
        <v>1140</v>
      </c>
      <c r="E9" s="6"/>
      <c r="F9" s="6" t="s">
        <v>406</v>
      </c>
      <c r="G9" s="6" t="s">
        <v>1141</v>
      </c>
      <c r="H9" s="6" t="s">
        <v>33</v>
      </c>
    </row>
    <row r="10" customFormat="false" ht="23.85" hidden="false" customHeight="false" outlineLevel="0" collapsed="false">
      <c r="A10" s="6" t="s">
        <v>1142</v>
      </c>
      <c r="B10" s="6" t="s">
        <v>1143</v>
      </c>
      <c r="C10" s="6" t="s">
        <v>1144</v>
      </c>
      <c r="D10" s="6"/>
      <c r="E10" s="6" t="s">
        <v>1145</v>
      </c>
      <c r="F10" s="6" t="s">
        <v>406</v>
      </c>
      <c r="G10" s="6" t="s">
        <v>1146</v>
      </c>
      <c r="H10" s="6" t="s">
        <v>32</v>
      </c>
    </row>
    <row r="11" customFormat="false" ht="23.85" hidden="false" customHeight="false" outlineLevel="0" collapsed="false">
      <c r="A11" s="6" t="s">
        <v>1147</v>
      </c>
      <c r="B11" s="6" t="s">
        <v>1148</v>
      </c>
      <c r="C11" s="6" t="s">
        <v>1149</v>
      </c>
      <c r="D11" s="6" t="s">
        <v>1150</v>
      </c>
      <c r="E11" s="6"/>
      <c r="F11" s="6" t="s">
        <v>705</v>
      </c>
      <c r="G11" s="6" t="s">
        <v>1151</v>
      </c>
      <c r="H11" s="6" t="s">
        <v>32</v>
      </c>
    </row>
    <row r="12" customFormat="false" ht="23.85" hidden="false" customHeight="false" outlineLevel="0" collapsed="false">
      <c r="A12" s="6" t="s">
        <v>1152</v>
      </c>
      <c r="B12" s="6" t="s">
        <v>1153</v>
      </c>
      <c r="C12" s="6" t="s">
        <v>1149</v>
      </c>
      <c r="D12" s="6" t="s">
        <v>1150</v>
      </c>
      <c r="E12" s="6"/>
      <c r="F12" s="6" t="s">
        <v>705</v>
      </c>
      <c r="G12" s="6" t="s">
        <v>1151</v>
      </c>
      <c r="H12" s="6" t="s">
        <v>32</v>
      </c>
    </row>
    <row r="13" customFormat="false" ht="23.85" hidden="false" customHeight="false" outlineLevel="0" collapsed="false">
      <c r="A13" s="6" t="s">
        <v>1154</v>
      </c>
      <c r="B13" s="6" t="s">
        <v>1155</v>
      </c>
      <c r="C13" s="6" t="s">
        <v>1134</v>
      </c>
      <c r="D13" s="6" t="s">
        <v>1156</v>
      </c>
      <c r="E13" s="6" t="s">
        <v>1157</v>
      </c>
      <c r="F13" s="6" t="s">
        <v>191</v>
      </c>
      <c r="G13" s="6" t="s">
        <v>776</v>
      </c>
      <c r="H13" s="6" t="s">
        <v>33</v>
      </c>
    </row>
    <row r="14" customFormat="false" ht="15" hidden="false" customHeight="false" outlineLevel="0" collapsed="false">
      <c r="A14" s="6" t="s">
        <v>1158</v>
      </c>
      <c r="B14" s="6" t="s">
        <v>1159</v>
      </c>
      <c r="C14" s="6" t="s">
        <v>1160</v>
      </c>
      <c r="D14" s="6" t="s">
        <v>1161</v>
      </c>
      <c r="E14" s="6"/>
      <c r="F14" s="6" t="s">
        <v>130</v>
      </c>
      <c r="G14" s="6" t="s">
        <v>785</v>
      </c>
      <c r="H14" s="6" t="s">
        <v>32</v>
      </c>
    </row>
    <row r="15" customFormat="false" ht="15" hidden="false" customHeight="false" outlineLevel="0" collapsed="false">
      <c r="A15" s="6" t="s">
        <v>1162</v>
      </c>
      <c r="B15" s="6" t="s">
        <v>1163</v>
      </c>
      <c r="C15" s="6" t="s">
        <v>1164</v>
      </c>
      <c r="D15" s="6"/>
      <c r="E15" s="6" t="s">
        <v>1165</v>
      </c>
      <c r="F15" s="6" t="s">
        <v>130</v>
      </c>
      <c r="G15" s="6" t="s">
        <v>104</v>
      </c>
      <c r="H15" s="6" t="s">
        <v>33</v>
      </c>
    </row>
    <row r="16" customFormat="false" ht="15" hidden="false" customHeight="false" outlineLevel="0" collapsed="false">
      <c r="A16" s="6" t="s">
        <v>1166</v>
      </c>
      <c r="B16" s="6" t="s">
        <v>1167</v>
      </c>
      <c r="C16" s="6" t="s">
        <v>1164</v>
      </c>
      <c r="D16" s="6" t="s">
        <v>1168</v>
      </c>
      <c r="E16" s="6"/>
      <c r="F16" s="6" t="s">
        <v>311</v>
      </c>
      <c r="G16" s="6" t="s">
        <v>722</v>
      </c>
      <c r="H16" s="6" t="s">
        <v>32</v>
      </c>
    </row>
    <row r="17" customFormat="false" ht="15" hidden="false" customHeight="false" outlineLevel="0" collapsed="false">
      <c r="A17" s="6"/>
      <c r="B17" s="6"/>
      <c r="C17" s="6"/>
      <c r="D17" s="6"/>
      <c r="E17" s="6"/>
      <c r="F17" s="6"/>
      <c r="G17" s="6"/>
      <c r="H17" s="6"/>
    </row>
    <row r="19" customFormat="false" ht="15" hidden="false" customHeight="false" outlineLevel="0" collapsed="false">
      <c r="A19" s="50" t="s">
        <v>1169</v>
      </c>
      <c r="B19" s="50"/>
      <c r="C19" s="50"/>
      <c r="D19" s="50"/>
      <c r="E19" s="50"/>
      <c r="F19" s="50"/>
      <c r="G19" s="50"/>
      <c r="H19" s="50"/>
    </row>
    <row r="20" customFormat="false" ht="15" hidden="false" customHeight="false" outlineLevel="0" collapsed="false">
      <c r="A20" s="51" t="s">
        <v>89</v>
      </c>
      <c r="B20" s="51" t="s">
        <v>821</v>
      </c>
      <c r="C20" s="51" t="s">
        <v>91</v>
      </c>
      <c r="D20" s="51" t="s">
        <v>240</v>
      </c>
      <c r="E20" s="51" t="s">
        <v>454</v>
      </c>
      <c r="F20" s="51" t="s">
        <v>79</v>
      </c>
      <c r="G20" s="51" t="s">
        <v>77</v>
      </c>
      <c r="H20" s="51" t="s">
        <v>75</v>
      </c>
    </row>
    <row r="21" customFormat="false" ht="57.45" hidden="false" customHeight="false" outlineLevel="0" collapsed="false">
      <c r="A21" s="6" t="s">
        <v>1170</v>
      </c>
      <c r="B21" s="6" t="s">
        <v>1171</v>
      </c>
      <c r="C21" s="6" t="s">
        <v>1172</v>
      </c>
      <c r="D21" s="6"/>
      <c r="E21" s="6"/>
      <c r="F21" s="6" t="s">
        <v>130</v>
      </c>
      <c r="G21" s="6" t="s">
        <v>1173</v>
      </c>
      <c r="H21" s="6" t="s">
        <v>33</v>
      </c>
    </row>
    <row r="22" customFormat="false" ht="68.65" hidden="false" customHeight="false" outlineLevel="0" collapsed="false">
      <c r="A22" s="6" t="s">
        <v>1174</v>
      </c>
      <c r="B22" s="6" t="s">
        <v>1175</v>
      </c>
      <c r="C22" s="6" t="s">
        <v>1176</v>
      </c>
      <c r="D22" s="6"/>
      <c r="E22" s="6"/>
      <c r="F22" s="6" t="s">
        <v>130</v>
      </c>
      <c r="G22" s="6" t="s">
        <v>104</v>
      </c>
      <c r="H22" s="6" t="s">
        <v>33</v>
      </c>
    </row>
    <row r="23" customFormat="false" ht="46.25" hidden="false" customHeight="false" outlineLevel="0" collapsed="false">
      <c r="A23" s="6" t="s">
        <v>1177</v>
      </c>
      <c r="B23" s="6" t="s">
        <v>1178</v>
      </c>
      <c r="C23" s="6" t="s">
        <v>1179</v>
      </c>
      <c r="D23" s="6"/>
      <c r="E23" s="6"/>
      <c r="F23" s="6" t="s">
        <v>130</v>
      </c>
      <c r="G23" s="6" t="s">
        <v>104</v>
      </c>
      <c r="H23" s="6" t="s">
        <v>33</v>
      </c>
    </row>
    <row r="24" customFormat="false" ht="68.65" hidden="false" customHeight="false" outlineLevel="0" collapsed="false">
      <c r="A24" s="6" t="s">
        <v>1180</v>
      </c>
      <c r="B24" s="6" t="s">
        <v>724</v>
      </c>
      <c r="C24" s="6" t="s">
        <v>1181</v>
      </c>
      <c r="D24" s="6"/>
      <c r="E24" s="6"/>
      <c r="F24" s="6" t="s">
        <v>140</v>
      </c>
      <c r="G24" s="6" t="s">
        <v>1182</v>
      </c>
      <c r="H24" s="6" t="s">
        <v>32</v>
      </c>
    </row>
    <row r="25" customFormat="false" ht="57.45" hidden="false" customHeight="false" outlineLevel="0" collapsed="false">
      <c r="A25" s="6" t="s">
        <v>1183</v>
      </c>
      <c r="B25" s="6" t="s">
        <v>1184</v>
      </c>
      <c r="C25" s="6" t="s">
        <v>1185</v>
      </c>
      <c r="D25" s="6"/>
      <c r="E25" s="6"/>
      <c r="F25" s="6" t="s">
        <v>1186</v>
      </c>
      <c r="G25" s="6" t="s">
        <v>1187</v>
      </c>
      <c r="H25" s="6" t="s">
        <v>32</v>
      </c>
    </row>
    <row r="26" customFormat="false" ht="15" hidden="false" customHeight="false" outlineLevel="0" collapsed="false">
      <c r="A26" s="6"/>
      <c r="B26" s="6"/>
      <c r="C26" s="6"/>
      <c r="D26" s="6"/>
      <c r="E26" s="6"/>
      <c r="F26" s="6"/>
      <c r="G26" s="6"/>
      <c r="H26" s="6"/>
    </row>
    <row r="28" customFormat="false" ht="15" hidden="false" customHeight="false" outlineLevel="0" collapsed="false">
      <c r="A28" s="50" t="s">
        <v>701</v>
      </c>
      <c r="B28" s="50"/>
      <c r="C28" s="50"/>
      <c r="D28" s="50"/>
      <c r="E28" s="50"/>
      <c r="F28" s="50"/>
      <c r="G28" s="50"/>
      <c r="H28" s="50"/>
    </row>
    <row r="29" customFormat="false" ht="15" hidden="false" customHeight="false" outlineLevel="0" collapsed="false">
      <c r="A29" s="51" t="s">
        <v>89</v>
      </c>
      <c r="B29" s="51" t="s">
        <v>1188</v>
      </c>
      <c r="C29" s="51" t="s">
        <v>1189</v>
      </c>
      <c r="D29" s="51" t="s">
        <v>240</v>
      </c>
      <c r="E29" s="51" t="s">
        <v>81</v>
      </c>
      <c r="F29" s="51" t="s">
        <v>79</v>
      </c>
      <c r="G29" s="51" t="s">
        <v>77</v>
      </c>
      <c r="H29" s="51" t="s">
        <v>75</v>
      </c>
    </row>
    <row r="30" customFormat="false" ht="35.05" hidden="false" customHeight="false" outlineLevel="0" collapsed="false">
      <c r="A30" s="6" t="s">
        <v>1190</v>
      </c>
      <c r="B30" s="6" t="s">
        <v>1191</v>
      </c>
      <c r="C30" s="6" t="s">
        <v>1192</v>
      </c>
      <c r="D30" s="6" t="s">
        <v>1193</v>
      </c>
      <c r="E30" s="6" t="s">
        <v>1194</v>
      </c>
      <c r="F30" s="6" t="s">
        <v>705</v>
      </c>
      <c r="G30" s="6" t="s">
        <v>1195</v>
      </c>
      <c r="H30" s="6" t="s">
        <v>33</v>
      </c>
    </row>
    <row r="31" customFormat="false" ht="15" hidden="false" customHeight="false" outlineLevel="0" collapsed="false">
      <c r="A31" s="6" t="s">
        <v>1196</v>
      </c>
      <c r="B31" s="6" t="s">
        <v>1197</v>
      </c>
      <c r="C31" s="6" t="s">
        <v>1198</v>
      </c>
      <c r="D31" s="6"/>
      <c r="E31" s="6" t="s">
        <v>1199</v>
      </c>
      <c r="F31" s="6" t="s">
        <v>705</v>
      </c>
      <c r="G31" s="6" t="s">
        <v>706</v>
      </c>
      <c r="H31" s="6" t="s">
        <v>32</v>
      </c>
    </row>
    <row r="32" customFormat="false" ht="15" hidden="false" customHeight="false" outlineLevel="0" collapsed="false">
      <c r="A32" s="6" t="s">
        <v>1200</v>
      </c>
      <c r="B32" s="6" t="s">
        <v>1201</v>
      </c>
      <c r="C32" s="6" t="s">
        <v>1198</v>
      </c>
      <c r="D32" s="6"/>
      <c r="E32" s="6" t="s">
        <v>1202</v>
      </c>
      <c r="F32" s="6" t="s">
        <v>705</v>
      </c>
      <c r="G32" s="6" t="s">
        <v>706</v>
      </c>
      <c r="H32" s="6" t="s">
        <v>32</v>
      </c>
    </row>
    <row r="33" customFormat="false" ht="35.05" hidden="false" customHeight="false" outlineLevel="0" collapsed="false">
      <c r="A33" s="6" t="s">
        <v>1203</v>
      </c>
      <c r="B33" s="6" t="s">
        <v>1204</v>
      </c>
      <c r="C33" s="6" t="s">
        <v>1205</v>
      </c>
      <c r="D33" s="6"/>
      <c r="E33" s="6" t="s">
        <v>1206</v>
      </c>
      <c r="F33" s="6" t="s">
        <v>705</v>
      </c>
      <c r="G33" s="6" t="s">
        <v>104</v>
      </c>
      <c r="H33" s="6" t="s">
        <v>33</v>
      </c>
    </row>
    <row r="34" customFormat="false" ht="102.2" hidden="false" customHeight="false" outlineLevel="0" collapsed="false">
      <c r="A34" s="6" t="s">
        <v>1207</v>
      </c>
      <c r="B34" s="6" t="s">
        <v>1208</v>
      </c>
      <c r="C34" s="6" t="s">
        <v>1209</v>
      </c>
      <c r="D34" s="6"/>
      <c r="E34" s="6"/>
      <c r="F34" s="6" t="s">
        <v>163</v>
      </c>
      <c r="G34" s="6" t="s">
        <v>1210</v>
      </c>
      <c r="H34" s="6" t="s">
        <v>33</v>
      </c>
    </row>
    <row r="35" customFormat="false" ht="79.85" hidden="false" customHeight="false" outlineLevel="0" collapsed="false">
      <c r="A35" s="6" t="s">
        <v>1211</v>
      </c>
      <c r="B35" s="6" t="s">
        <v>1212</v>
      </c>
      <c r="C35" s="6" t="s">
        <v>1213</v>
      </c>
      <c r="D35" s="6"/>
      <c r="E35" s="6" t="s">
        <v>856</v>
      </c>
      <c r="F35" s="6" t="s">
        <v>705</v>
      </c>
      <c r="G35" s="6" t="s">
        <v>706</v>
      </c>
      <c r="H35" s="6" t="s">
        <v>32</v>
      </c>
    </row>
    <row r="36" customFormat="false" ht="68.65" hidden="false" customHeight="false" outlineLevel="0" collapsed="false">
      <c r="A36" s="6" t="s">
        <v>1214</v>
      </c>
      <c r="B36" s="6" t="s">
        <v>1215</v>
      </c>
      <c r="C36" s="6" t="s">
        <v>1216</v>
      </c>
      <c r="D36" s="6"/>
      <c r="E36" s="6"/>
      <c r="F36" s="6" t="s">
        <v>311</v>
      </c>
      <c r="G36" s="6" t="s">
        <v>1217</v>
      </c>
      <c r="H36" s="6" t="s">
        <v>32</v>
      </c>
    </row>
    <row r="37" customFormat="false" ht="57.45" hidden="false" customHeight="false" outlineLevel="0" collapsed="false">
      <c r="A37" s="6" t="s">
        <v>1218</v>
      </c>
      <c r="B37" s="6" t="s">
        <v>1219</v>
      </c>
      <c r="C37" s="6" t="s">
        <v>1220</v>
      </c>
      <c r="D37" s="6"/>
      <c r="E37" s="6"/>
      <c r="F37" s="6" t="s">
        <v>311</v>
      </c>
      <c r="G37" s="6" t="s">
        <v>722</v>
      </c>
      <c r="H37" s="6" t="s">
        <v>32</v>
      </c>
    </row>
    <row r="38" customFormat="false" ht="15" hidden="false" customHeight="false" outlineLevel="0" collapsed="false">
      <c r="A38" s="6"/>
      <c r="B38" s="6"/>
      <c r="C38" s="6"/>
      <c r="D38" s="6"/>
      <c r="E38" s="6"/>
      <c r="F38" s="6"/>
      <c r="G38" s="6"/>
      <c r="H38" s="6"/>
    </row>
  </sheetData>
  <autoFilter ref="A6:H17"/>
  <mergeCells count="3">
    <mergeCell ref="A5:H5"/>
    <mergeCell ref="A19:H19"/>
    <mergeCell ref="A28:H28"/>
  </mergeCells>
  <conditionalFormatting sqref="H7:H17">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H21:H26">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H30:H38">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H7:H17 H21:H26 H30:H38"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22"/>
    <col collapsed="false" customWidth="true" hidden="false" outlineLevel="0" max="4" min="4" style="0" width="40"/>
    <col collapsed="false" customWidth="true" hidden="false" outlineLevel="0" max="5" min="5" style="0" width="32"/>
    <col collapsed="false" customWidth="true" hidden="false" outlineLevel="0" max="6" min="6" style="0" width="10"/>
    <col collapsed="false" customWidth="true" hidden="false" outlineLevel="0" max="7" min="7" style="0" width="14"/>
    <col collapsed="false" customWidth="true" hidden="false" outlineLevel="0" max="8" min="8" style="0" width="13"/>
  </cols>
  <sheetData>
    <row r="1" customFormat="false" ht="17.35" hidden="false" customHeight="false" outlineLevel="0" collapsed="false">
      <c r="A1" s="1" t="s">
        <v>1221</v>
      </c>
    </row>
    <row r="2" customFormat="false" ht="15" hidden="false" customHeight="false" outlineLevel="0" collapsed="false">
      <c r="A2" s="2" t="s">
        <v>1222</v>
      </c>
    </row>
    <row r="3" customFormat="false" ht="15" hidden="false" customHeight="false" outlineLevel="0" collapsed="false">
      <c r="A3" s="3" t="str">
        <f aca="false">HYPERLINK("#'0 Index'!A1","↩ Index")</f>
        <v>↩ Index</v>
      </c>
    </row>
    <row r="5" customFormat="false" ht="15" hidden="false" customHeight="false" outlineLevel="0" collapsed="false">
      <c r="A5" s="50" t="s">
        <v>1223</v>
      </c>
      <c r="B5" s="50"/>
      <c r="C5" s="50"/>
      <c r="D5" s="50"/>
      <c r="E5" s="50"/>
      <c r="F5" s="50"/>
      <c r="G5" s="50"/>
      <c r="H5" s="50"/>
    </row>
    <row r="6" customFormat="false" ht="15" hidden="false" customHeight="false" outlineLevel="0" collapsed="false">
      <c r="A6" s="51" t="s">
        <v>89</v>
      </c>
      <c r="B6" s="51" t="s">
        <v>1224</v>
      </c>
      <c r="C6" s="51" t="s">
        <v>860</v>
      </c>
      <c r="D6" s="51" t="s">
        <v>1225</v>
      </c>
      <c r="E6" s="51" t="s">
        <v>240</v>
      </c>
      <c r="F6" s="51" t="s">
        <v>79</v>
      </c>
      <c r="G6" s="51" t="s">
        <v>77</v>
      </c>
      <c r="H6" s="51" t="s">
        <v>75</v>
      </c>
    </row>
    <row r="7" customFormat="false" ht="23.85" hidden="false" customHeight="false" outlineLevel="0" collapsed="false">
      <c r="A7" s="6" t="s">
        <v>1226</v>
      </c>
      <c r="B7" s="6" t="s">
        <v>1227</v>
      </c>
      <c r="C7" s="6" t="s">
        <v>1134</v>
      </c>
      <c r="D7" s="6" t="s">
        <v>1228</v>
      </c>
      <c r="E7" s="6" t="s">
        <v>1229</v>
      </c>
      <c r="F7" s="6" t="s">
        <v>191</v>
      </c>
      <c r="G7" s="6" t="s">
        <v>1230</v>
      </c>
      <c r="H7" s="6" t="s">
        <v>32</v>
      </c>
    </row>
    <row r="8" customFormat="false" ht="15" hidden="false" customHeight="false" outlineLevel="0" collapsed="false">
      <c r="A8" s="6" t="s">
        <v>1231</v>
      </c>
      <c r="B8" s="6" t="s">
        <v>1232</v>
      </c>
      <c r="C8" s="6" t="s">
        <v>1134</v>
      </c>
      <c r="D8" s="6" t="s">
        <v>1233</v>
      </c>
      <c r="E8" s="6"/>
      <c r="F8" s="6" t="s">
        <v>191</v>
      </c>
      <c r="G8" s="6" t="s">
        <v>1230</v>
      </c>
      <c r="H8" s="6" t="s">
        <v>32</v>
      </c>
    </row>
    <row r="9" customFormat="false" ht="15" hidden="false" customHeight="false" outlineLevel="0" collapsed="false">
      <c r="A9" s="6" t="s">
        <v>1234</v>
      </c>
      <c r="B9" s="6" t="s">
        <v>1235</v>
      </c>
      <c r="C9" s="6" t="s">
        <v>1236</v>
      </c>
      <c r="D9" s="6" t="s">
        <v>1237</v>
      </c>
      <c r="E9" s="6"/>
      <c r="F9" s="6" t="s">
        <v>406</v>
      </c>
      <c r="G9" s="6" t="s">
        <v>1238</v>
      </c>
      <c r="H9" s="6" t="s">
        <v>32</v>
      </c>
    </row>
    <row r="10" customFormat="false" ht="23.85" hidden="false" customHeight="false" outlineLevel="0" collapsed="false">
      <c r="A10" s="6" t="s">
        <v>1239</v>
      </c>
      <c r="B10" s="6" t="s">
        <v>1240</v>
      </c>
      <c r="C10" s="6" t="s">
        <v>1241</v>
      </c>
      <c r="D10" s="6" t="s">
        <v>1242</v>
      </c>
      <c r="E10" s="6"/>
      <c r="F10" s="6" t="s">
        <v>424</v>
      </c>
      <c r="G10" s="6" t="s">
        <v>425</v>
      </c>
      <c r="H10" s="6" t="s">
        <v>32</v>
      </c>
    </row>
    <row r="11" customFormat="false" ht="23.85" hidden="false" customHeight="false" outlineLevel="0" collapsed="false">
      <c r="A11" s="6" t="s">
        <v>1243</v>
      </c>
      <c r="B11" s="6" t="s">
        <v>1244</v>
      </c>
      <c r="C11" s="6" t="s">
        <v>1241</v>
      </c>
      <c r="D11" s="6" t="s">
        <v>1245</v>
      </c>
      <c r="E11" s="6"/>
      <c r="F11" s="6" t="s">
        <v>424</v>
      </c>
      <c r="G11" s="6" t="s">
        <v>1246</v>
      </c>
      <c r="H11" s="6" t="s">
        <v>33</v>
      </c>
    </row>
    <row r="12" customFormat="false" ht="15" hidden="false" customHeight="false" outlineLevel="0" collapsed="false">
      <c r="A12" s="6"/>
      <c r="B12" s="6"/>
      <c r="C12" s="6"/>
      <c r="D12" s="6"/>
      <c r="E12" s="6"/>
      <c r="F12" s="6"/>
      <c r="G12" s="6"/>
      <c r="H12" s="6"/>
    </row>
    <row r="14" customFormat="false" ht="15" hidden="false" customHeight="false" outlineLevel="0" collapsed="false">
      <c r="A14" s="50" t="s">
        <v>1247</v>
      </c>
      <c r="B14" s="50"/>
      <c r="C14" s="50"/>
      <c r="D14" s="50"/>
      <c r="E14" s="50"/>
      <c r="F14" s="50"/>
      <c r="G14" s="50"/>
      <c r="H14" s="50"/>
    </row>
    <row r="15" customFormat="false" ht="15" hidden="false" customHeight="true" outlineLevel="0" collapsed="false">
      <c r="A15" s="8" t="s">
        <v>1248</v>
      </c>
      <c r="B15" s="8"/>
      <c r="C15" s="8"/>
      <c r="D15" s="8"/>
      <c r="E15" s="8"/>
      <c r="F15" s="8"/>
      <c r="G15" s="8"/>
      <c r="H15" s="8"/>
    </row>
    <row r="16" customFormat="false" ht="15" hidden="false" customHeight="false" outlineLevel="0" collapsed="false">
      <c r="A16" s="51" t="s">
        <v>89</v>
      </c>
      <c r="B16" s="51" t="s">
        <v>821</v>
      </c>
      <c r="C16" s="51" t="s">
        <v>91</v>
      </c>
      <c r="D16" s="51" t="s">
        <v>240</v>
      </c>
      <c r="E16" s="51" t="s">
        <v>81</v>
      </c>
      <c r="F16" s="51" t="s">
        <v>79</v>
      </c>
      <c r="G16" s="51" t="s">
        <v>77</v>
      </c>
      <c r="H16" s="51" t="s">
        <v>75</v>
      </c>
    </row>
    <row r="17" customFormat="false" ht="23.85" hidden="false" customHeight="false" outlineLevel="0" collapsed="false">
      <c r="A17" s="6" t="s">
        <v>1249</v>
      </c>
      <c r="B17" s="6" t="s">
        <v>1250</v>
      </c>
      <c r="C17" s="6" t="s">
        <v>1251</v>
      </c>
      <c r="D17" s="6"/>
      <c r="E17" s="6"/>
      <c r="F17" s="6" t="s">
        <v>191</v>
      </c>
      <c r="G17" s="6" t="s">
        <v>1230</v>
      </c>
      <c r="H17" s="6" t="s">
        <v>32</v>
      </c>
    </row>
    <row r="18" customFormat="false" ht="35.05" hidden="false" customHeight="false" outlineLevel="0" collapsed="false">
      <c r="A18" s="6" t="s">
        <v>1252</v>
      </c>
      <c r="B18" s="6" t="s">
        <v>732</v>
      </c>
      <c r="C18" s="6" t="s">
        <v>1253</v>
      </c>
      <c r="D18" s="6"/>
      <c r="E18" s="6" t="s">
        <v>1254</v>
      </c>
      <c r="F18" s="6" t="s">
        <v>191</v>
      </c>
      <c r="G18" s="6" t="s">
        <v>104</v>
      </c>
      <c r="H18" s="6" t="s">
        <v>33</v>
      </c>
    </row>
    <row r="19" customFormat="false" ht="68.65" hidden="false" customHeight="false" outlineLevel="0" collapsed="false">
      <c r="A19" s="6" t="s">
        <v>1255</v>
      </c>
      <c r="B19" s="6" t="s">
        <v>735</v>
      </c>
      <c r="C19" s="6" t="s">
        <v>1256</v>
      </c>
      <c r="D19" s="6" t="s">
        <v>1257</v>
      </c>
      <c r="E19" s="6" t="s">
        <v>1258</v>
      </c>
      <c r="F19" s="6" t="s">
        <v>191</v>
      </c>
      <c r="G19" s="6" t="s">
        <v>1259</v>
      </c>
      <c r="H19" s="6" t="s">
        <v>32</v>
      </c>
    </row>
    <row r="20" customFormat="false" ht="57.45" hidden="false" customHeight="false" outlineLevel="0" collapsed="false">
      <c r="A20" s="6" t="s">
        <v>1260</v>
      </c>
      <c r="B20" s="6" t="s">
        <v>1261</v>
      </c>
      <c r="C20" s="6" t="s">
        <v>1262</v>
      </c>
      <c r="D20" s="6"/>
      <c r="E20" s="6"/>
      <c r="F20" s="6" t="s">
        <v>191</v>
      </c>
      <c r="G20" s="6" t="s">
        <v>1263</v>
      </c>
      <c r="H20" s="6" t="s">
        <v>32</v>
      </c>
    </row>
    <row r="21" customFormat="false" ht="91" hidden="false" customHeight="false" outlineLevel="0" collapsed="false">
      <c r="A21" s="6" t="s">
        <v>1264</v>
      </c>
      <c r="B21" s="6" t="s">
        <v>1265</v>
      </c>
      <c r="C21" s="6" t="s">
        <v>1266</v>
      </c>
      <c r="D21" s="6"/>
      <c r="E21" s="6" t="s">
        <v>1267</v>
      </c>
      <c r="F21" s="6" t="s">
        <v>191</v>
      </c>
      <c r="G21" s="6" t="s">
        <v>1268</v>
      </c>
      <c r="H21" s="6" t="s">
        <v>32</v>
      </c>
    </row>
    <row r="22" customFormat="false" ht="35.05" hidden="false" customHeight="false" outlineLevel="0" collapsed="false">
      <c r="A22" s="6" t="s">
        <v>1269</v>
      </c>
      <c r="B22" s="6" t="s">
        <v>1270</v>
      </c>
      <c r="C22" s="6" t="s">
        <v>1271</v>
      </c>
      <c r="D22" s="6"/>
      <c r="E22" s="6"/>
      <c r="F22" s="6" t="s">
        <v>191</v>
      </c>
      <c r="G22" s="6" t="s">
        <v>1272</v>
      </c>
      <c r="H22" s="6" t="s">
        <v>32</v>
      </c>
    </row>
    <row r="23" customFormat="false" ht="35.05" hidden="false" customHeight="false" outlineLevel="0" collapsed="false">
      <c r="A23" s="6" t="s">
        <v>1273</v>
      </c>
      <c r="B23" s="6" t="s">
        <v>1274</v>
      </c>
      <c r="C23" s="6" t="s">
        <v>1275</v>
      </c>
      <c r="D23" s="6"/>
      <c r="E23" s="6"/>
      <c r="F23" s="6" t="s">
        <v>311</v>
      </c>
      <c r="G23" s="6" t="s">
        <v>104</v>
      </c>
      <c r="H23" s="6" t="s">
        <v>33</v>
      </c>
    </row>
    <row r="24" customFormat="false" ht="15" hidden="false" customHeight="false" outlineLevel="0" collapsed="false">
      <c r="A24" s="6"/>
      <c r="B24" s="6"/>
      <c r="C24" s="6"/>
      <c r="D24" s="6"/>
      <c r="E24" s="6"/>
      <c r="F24" s="6"/>
      <c r="G24" s="6"/>
      <c r="H24" s="6"/>
    </row>
    <row r="26" customFormat="false" ht="15" hidden="false" customHeight="false" outlineLevel="0" collapsed="false">
      <c r="A26" s="50" t="s">
        <v>1276</v>
      </c>
      <c r="B26" s="50"/>
      <c r="C26" s="50"/>
      <c r="D26" s="50"/>
      <c r="E26" s="50"/>
      <c r="F26" s="50"/>
      <c r="G26" s="50"/>
      <c r="H26" s="50"/>
    </row>
    <row r="27" customFormat="false" ht="15" hidden="false" customHeight="true" outlineLevel="0" collapsed="false">
      <c r="A27" s="8" t="s">
        <v>1277</v>
      </c>
      <c r="B27" s="8"/>
      <c r="C27" s="8"/>
      <c r="D27" s="8"/>
      <c r="E27" s="8"/>
      <c r="F27" s="8"/>
      <c r="G27" s="8"/>
      <c r="H27" s="8"/>
    </row>
    <row r="28" customFormat="false" ht="15" hidden="false" customHeight="false" outlineLevel="0" collapsed="false">
      <c r="A28" s="51" t="s">
        <v>89</v>
      </c>
      <c r="B28" s="51" t="s">
        <v>1278</v>
      </c>
      <c r="C28" s="51" t="s">
        <v>1279</v>
      </c>
      <c r="D28" s="51" t="s">
        <v>1280</v>
      </c>
      <c r="E28" s="51" t="s">
        <v>1281</v>
      </c>
      <c r="F28" s="51" t="s">
        <v>79</v>
      </c>
      <c r="G28" s="51" t="s">
        <v>77</v>
      </c>
      <c r="H28" s="51" t="s">
        <v>75</v>
      </c>
    </row>
    <row r="29" customFormat="false" ht="15" hidden="false" customHeight="false" outlineLevel="0" collapsed="false">
      <c r="A29" s="6" t="s">
        <v>1282</v>
      </c>
      <c r="B29" s="6" t="s">
        <v>1283</v>
      </c>
      <c r="C29" s="6" t="s">
        <v>1284</v>
      </c>
      <c r="D29" s="6" t="s">
        <v>1285</v>
      </c>
      <c r="E29" s="6" t="s">
        <v>1286</v>
      </c>
      <c r="F29" s="6" t="s">
        <v>1287</v>
      </c>
      <c r="G29" s="6" t="s">
        <v>104</v>
      </c>
      <c r="H29" s="6" t="s">
        <v>33</v>
      </c>
    </row>
    <row r="30" customFormat="false" ht="15" hidden="false" customHeight="false" outlineLevel="0" collapsed="false">
      <c r="A30" s="6" t="s">
        <v>1288</v>
      </c>
      <c r="B30" s="6" t="s">
        <v>1289</v>
      </c>
      <c r="C30" s="6" t="s">
        <v>1284</v>
      </c>
      <c r="D30" s="6" t="s">
        <v>1290</v>
      </c>
      <c r="E30" s="6" t="s">
        <v>1291</v>
      </c>
      <c r="F30" s="6" t="s">
        <v>1287</v>
      </c>
      <c r="G30" s="6" t="s">
        <v>104</v>
      </c>
      <c r="H30" s="6" t="s">
        <v>33</v>
      </c>
    </row>
    <row r="31" customFormat="false" ht="15" hidden="false" customHeight="false" outlineLevel="0" collapsed="false">
      <c r="A31" s="6" t="s">
        <v>1292</v>
      </c>
      <c r="B31" s="6" t="s">
        <v>1293</v>
      </c>
      <c r="C31" s="6" t="s">
        <v>1284</v>
      </c>
      <c r="D31" s="6" t="s">
        <v>1294</v>
      </c>
      <c r="E31" s="6" t="s">
        <v>1291</v>
      </c>
      <c r="F31" s="6" t="s">
        <v>1287</v>
      </c>
      <c r="G31" s="6" t="s">
        <v>104</v>
      </c>
      <c r="H31" s="6" t="s">
        <v>33</v>
      </c>
    </row>
    <row r="32" customFormat="false" ht="15" hidden="false" customHeight="false" outlineLevel="0" collapsed="false">
      <c r="A32" s="6" t="s">
        <v>1295</v>
      </c>
      <c r="B32" s="6" t="s">
        <v>1296</v>
      </c>
      <c r="C32" s="6" t="s">
        <v>1297</v>
      </c>
      <c r="D32" s="6" t="s">
        <v>1298</v>
      </c>
      <c r="E32" s="6" t="s">
        <v>1299</v>
      </c>
      <c r="F32" s="6" t="s">
        <v>1287</v>
      </c>
      <c r="G32" s="6" t="s">
        <v>104</v>
      </c>
      <c r="H32" s="6" t="s">
        <v>33</v>
      </c>
    </row>
    <row r="33" customFormat="false" ht="15" hidden="false" customHeight="false" outlineLevel="0" collapsed="false">
      <c r="A33" s="6" t="s">
        <v>1300</v>
      </c>
      <c r="B33" s="6" t="s">
        <v>1301</v>
      </c>
      <c r="C33" s="6" t="s">
        <v>1297</v>
      </c>
      <c r="D33" s="6" t="s">
        <v>1302</v>
      </c>
      <c r="E33" s="6" t="s">
        <v>1299</v>
      </c>
      <c r="F33" s="6" t="s">
        <v>1287</v>
      </c>
      <c r="G33" s="6" t="s">
        <v>104</v>
      </c>
      <c r="H33" s="6" t="s">
        <v>33</v>
      </c>
    </row>
    <row r="34" customFormat="false" ht="15" hidden="false" customHeight="false" outlineLevel="0" collapsed="false">
      <c r="A34" s="6" t="s">
        <v>1303</v>
      </c>
      <c r="B34" s="6" t="s">
        <v>1304</v>
      </c>
      <c r="C34" s="6" t="s">
        <v>1297</v>
      </c>
      <c r="D34" s="6" t="s">
        <v>1305</v>
      </c>
      <c r="E34" s="6" t="s">
        <v>1306</v>
      </c>
      <c r="F34" s="6" t="s">
        <v>1287</v>
      </c>
      <c r="G34" s="6" t="s">
        <v>104</v>
      </c>
      <c r="H34" s="6" t="s">
        <v>33</v>
      </c>
    </row>
    <row r="35" customFormat="false" ht="15" hidden="false" customHeight="false" outlineLevel="0" collapsed="false">
      <c r="A35" s="6" t="s">
        <v>1307</v>
      </c>
      <c r="B35" s="6" t="s">
        <v>1308</v>
      </c>
      <c r="C35" s="6" t="s">
        <v>1309</v>
      </c>
      <c r="D35" s="6" t="s">
        <v>1310</v>
      </c>
      <c r="E35" s="6" t="s">
        <v>1311</v>
      </c>
      <c r="F35" s="6" t="s">
        <v>1287</v>
      </c>
      <c r="G35" s="6" t="s">
        <v>104</v>
      </c>
      <c r="H35" s="6" t="s">
        <v>33</v>
      </c>
    </row>
    <row r="36" customFormat="false" ht="15" hidden="false" customHeight="false" outlineLevel="0" collapsed="false">
      <c r="A36" s="6" t="s">
        <v>1312</v>
      </c>
      <c r="B36" s="6" t="s">
        <v>1313</v>
      </c>
      <c r="C36" s="6" t="s">
        <v>1309</v>
      </c>
      <c r="D36" s="6" t="s">
        <v>1314</v>
      </c>
      <c r="E36" s="6" t="s">
        <v>1311</v>
      </c>
      <c r="F36" s="6" t="s">
        <v>1287</v>
      </c>
      <c r="G36" s="6" t="s">
        <v>104</v>
      </c>
      <c r="H36" s="6" t="s">
        <v>33</v>
      </c>
    </row>
    <row r="37" customFormat="false" ht="15" hidden="false" customHeight="false" outlineLevel="0" collapsed="false">
      <c r="A37" s="6" t="s">
        <v>1315</v>
      </c>
      <c r="B37" s="6" t="s">
        <v>1316</v>
      </c>
      <c r="C37" s="6" t="s">
        <v>1317</v>
      </c>
      <c r="D37" s="6" t="s">
        <v>1318</v>
      </c>
      <c r="E37" s="6" t="s">
        <v>1319</v>
      </c>
      <c r="F37" s="6" t="s">
        <v>1287</v>
      </c>
      <c r="G37" s="6" t="s">
        <v>104</v>
      </c>
      <c r="H37" s="6" t="s">
        <v>33</v>
      </c>
    </row>
    <row r="38" customFormat="false" ht="15" hidden="false" customHeight="false" outlineLevel="0" collapsed="false">
      <c r="A38" s="6" t="s">
        <v>1320</v>
      </c>
      <c r="B38" s="6" t="s">
        <v>1321</v>
      </c>
      <c r="C38" s="6" t="s">
        <v>1317</v>
      </c>
      <c r="D38" s="6" t="s">
        <v>1322</v>
      </c>
      <c r="E38" s="6" t="s">
        <v>1319</v>
      </c>
      <c r="F38" s="6" t="s">
        <v>1287</v>
      </c>
      <c r="G38" s="6" t="s">
        <v>104</v>
      </c>
      <c r="H38" s="6" t="s">
        <v>33</v>
      </c>
    </row>
    <row r="39" customFormat="false" ht="15" hidden="false" customHeight="false" outlineLevel="0" collapsed="false">
      <c r="A39" s="6" t="s">
        <v>1323</v>
      </c>
      <c r="B39" s="6" t="s">
        <v>1324</v>
      </c>
      <c r="C39" s="6" t="s">
        <v>1317</v>
      </c>
      <c r="D39" s="6" t="s">
        <v>1325</v>
      </c>
      <c r="E39" s="6" t="s">
        <v>1326</v>
      </c>
      <c r="F39" s="6" t="s">
        <v>1287</v>
      </c>
      <c r="G39" s="6" t="s">
        <v>104</v>
      </c>
      <c r="H39" s="6" t="s">
        <v>33</v>
      </c>
    </row>
    <row r="40" customFormat="false" ht="15" hidden="false" customHeight="false" outlineLevel="0" collapsed="false">
      <c r="A40" s="6" t="s">
        <v>1327</v>
      </c>
      <c r="B40" s="6" t="s">
        <v>1328</v>
      </c>
      <c r="C40" s="6" t="s">
        <v>1317</v>
      </c>
      <c r="D40" s="6" t="s">
        <v>1329</v>
      </c>
      <c r="E40" s="6" t="s">
        <v>1326</v>
      </c>
      <c r="F40" s="6" t="s">
        <v>1287</v>
      </c>
      <c r="G40" s="6" t="s">
        <v>104</v>
      </c>
      <c r="H40" s="6" t="s">
        <v>33</v>
      </c>
    </row>
    <row r="41" customFormat="false" ht="15" hidden="false" customHeight="false" outlineLevel="0" collapsed="false">
      <c r="A41" s="6"/>
      <c r="B41" s="6"/>
      <c r="C41" s="6"/>
      <c r="D41" s="6"/>
      <c r="E41" s="6"/>
      <c r="F41" s="6"/>
      <c r="G41" s="6"/>
      <c r="H41" s="6"/>
    </row>
    <row r="42" customFormat="false" ht="15" hidden="false" customHeight="false" outlineLevel="0" collapsed="false">
      <c r="A42" s="6"/>
      <c r="B42" s="6"/>
      <c r="C42" s="6"/>
      <c r="D42" s="6"/>
      <c r="E42" s="6"/>
      <c r="F42" s="6"/>
      <c r="G42" s="6"/>
      <c r="H42" s="6"/>
    </row>
    <row r="43" customFormat="false" ht="15" hidden="false" customHeight="false" outlineLevel="0" collapsed="false">
      <c r="A43" s="6"/>
      <c r="B43" s="6"/>
      <c r="C43" s="6"/>
      <c r="D43" s="6"/>
      <c r="E43" s="6"/>
      <c r="F43" s="6"/>
      <c r="G43" s="6"/>
      <c r="H43" s="6"/>
    </row>
    <row r="45" customFormat="false" ht="15" hidden="false" customHeight="false" outlineLevel="0" collapsed="false">
      <c r="A45" s="50" t="s">
        <v>1330</v>
      </c>
      <c r="B45" s="50"/>
      <c r="C45" s="50"/>
      <c r="D45" s="50"/>
      <c r="E45" s="50"/>
      <c r="F45" s="50"/>
      <c r="G45" s="50"/>
      <c r="H45" s="50"/>
    </row>
    <row r="46" customFormat="false" ht="15" hidden="false" customHeight="false" outlineLevel="0" collapsed="false">
      <c r="A46" s="51" t="s">
        <v>89</v>
      </c>
      <c r="B46" s="51" t="s">
        <v>1022</v>
      </c>
      <c r="C46" s="51" t="s">
        <v>860</v>
      </c>
      <c r="D46" s="51" t="s">
        <v>1023</v>
      </c>
      <c r="E46" s="51" t="s">
        <v>240</v>
      </c>
      <c r="F46" s="51" t="s">
        <v>79</v>
      </c>
      <c r="G46" s="51" t="s">
        <v>77</v>
      </c>
      <c r="H46" s="51" t="s">
        <v>75</v>
      </c>
    </row>
    <row r="47" customFormat="false" ht="15" hidden="false" customHeight="false" outlineLevel="0" collapsed="false">
      <c r="A47" s="6" t="s">
        <v>1331</v>
      </c>
      <c r="B47" s="6" t="s">
        <v>1130</v>
      </c>
      <c r="C47" s="6" t="s">
        <v>1060</v>
      </c>
      <c r="D47" s="6"/>
      <c r="E47" s="6" t="s">
        <v>1332</v>
      </c>
      <c r="F47" s="6"/>
      <c r="G47" s="6" t="s">
        <v>1333</v>
      </c>
      <c r="H47" s="6" t="s">
        <v>32</v>
      </c>
    </row>
    <row r="48" customFormat="false" ht="15" hidden="false" customHeight="false" outlineLevel="0" collapsed="false">
      <c r="A48" s="6" t="s">
        <v>1334</v>
      </c>
      <c r="B48" s="6" t="s">
        <v>1155</v>
      </c>
      <c r="C48" s="6" t="s">
        <v>1134</v>
      </c>
      <c r="D48" s="6" t="s">
        <v>1335</v>
      </c>
      <c r="E48" s="6"/>
      <c r="F48" s="6" t="s">
        <v>986</v>
      </c>
      <c r="G48" s="6" t="s">
        <v>1336</v>
      </c>
      <c r="H48" s="6" t="s">
        <v>33</v>
      </c>
    </row>
    <row r="49" customFormat="false" ht="15" hidden="false" customHeight="false" outlineLevel="0" collapsed="false">
      <c r="A49" s="6" t="s">
        <v>1337</v>
      </c>
      <c r="B49" s="6" t="s">
        <v>1235</v>
      </c>
      <c r="C49" s="6" t="s">
        <v>1236</v>
      </c>
      <c r="D49" s="6" t="s">
        <v>1338</v>
      </c>
      <c r="E49" s="6"/>
      <c r="F49" s="6" t="s">
        <v>986</v>
      </c>
      <c r="G49" s="6" t="s">
        <v>1336</v>
      </c>
      <c r="H49" s="6" t="s">
        <v>33</v>
      </c>
    </row>
    <row r="50" customFormat="false" ht="23.85" hidden="false" customHeight="false" outlineLevel="0" collapsed="false">
      <c r="A50" s="6" t="s">
        <v>1339</v>
      </c>
      <c r="B50" s="6" t="s">
        <v>1340</v>
      </c>
      <c r="C50" s="6" t="s">
        <v>1341</v>
      </c>
      <c r="D50" s="6" t="s">
        <v>1342</v>
      </c>
      <c r="E50" s="6"/>
      <c r="F50" s="6" t="s">
        <v>986</v>
      </c>
      <c r="G50" s="6" t="s">
        <v>1343</v>
      </c>
      <c r="H50" s="6" t="s">
        <v>32</v>
      </c>
    </row>
    <row r="51" customFormat="false" ht="23.85" hidden="false" customHeight="false" outlineLevel="0" collapsed="false">
      <c r="A51" s="6" t="s">
        <v>1344</v>
      </c>
      <c r="B51" s="6" t="s">
        <v>1345</v>
      </c>
      <c r="C51" s="6" t="s">
        <v>1060</v>
      </c>
      <c r="D51" s="6" t="s">
        <v>1346</v>
      </c>
      <c r="E51" s="6"/>
      <c r="F51" s="6" t="s">
        <v>1347</v>
      </c>
      <c r="G51" s="6" t="s">
        <v>1348</v>
      </c>
      <c r="H51" s="6" t="s">
        <v>32</v>
      </c>
    </row>
    <row r="52" customFormat="false" ht="23.85" hidden="false" customHeight="false" outlineLevel="0" collapsed="false">
      <c r="A52" s="6" t="s">
        <v>1349</v>
      </c>
      <c r="B52" s="6" t="s">
        <v>1350</v>
      </c>
      <c r="C52" s="6" t="s">
        <v>1351</v>
      </c>
      <c r="D52" s="6" t="s">
        <v>1352</v>
      </c>
      <c r="E52" s="6"/>
      <c r="F52" s="6" t="s">
        <v>1353</v>
      </c>
      <c r="G52" s="6" t="s">
        <v>1354</v>
      </c>
      <c r="H52" s="6" t="s">
        <v>33</v>
      </c>
    </row>
    <row r="53" customFormat="false" ht="15" hidden="false" customHeight="false" outlineLevel="0" collapsed="false">
      <c r="A53" s="6"/>
      <c r="B53" s="6"/>
      <c r="C53" s="6"/>
      <c r="D53" s="6"/>
      <c r="E53" s="6"/>
      <c r="F53" s="6"/>
      <c r="G53" s="6"/>
      <c r="H53" s="6"/>
    </row>
    <row r="55" customFormat="false" ht="15" hidden="false" customHeight="false" outlineLevel="0" collapsed="false">
      <c r="A55" s="50" t="s">
        <v>1355</v>
      </c>
      <c r="B55" s="50"/>
      <c r="C55" s="50"/>
      <c r="D55" s="50"/>
      <c r="E55" s="50"/>
      <c r="F55" s="50"/>
      <c r="G55" s="50"/>
      <c r="H55" s="50"/>
    </row>
    <row r="56" customFormat="false" ht="15" hidden="false" customHeight="false" outlineLevel="0" collapsed="false">
      <c r="A56" s="51" t="s">
        <v>89</v>
      </c>
      <c r="B56" s="51" t="s">
        <v>821</v>
      </c>
      <c r="C56" s="51" t="s">
        <v>91</v>
      </c>
      <c r="D56" s="51" t="s">
        <v>240</v>
      </c>
      <c r="E56" s="51" t="s">
        <v>454</v>
      </c>
      <c r="F56" s="51" t="s">
        <v>79</v>
      </c>
      <c r="G56" s="51" t="s">
        <v>77</v>
      </c>
      <c r="H56" s="51" t="s">
        <v>75</v>
      </c>
    </row>
    <row r="57" customFormat="false" ht="46.25" hidden="false" customHeight="false" outlineLevel="0" collapsed="false">
      <c r="A57" s="6" t="s">
        <v>1356</v>
      </c>
      <c r="B57" s="6" t="s">
        <v>1357</v>
      </c>
      <c r="C57" s="6" t="s">
        <v>1358</v>
      </c>
      <c r="D57" s="6"/>
      <c r="E57" s="6"/>
      <c r="F57" s="6" t="s">
        <v>406</v>
      </c>
      <c r="G57" s="6" t="s">
        <v>1359</v>
      </c>
      <c r="H57" s="6" t="s">
        <v>32</v>
      </c>
    </row>
    <row r="58" customFormat="false" ht="79.85" hidden="false" customHeight="false" outlineLevel="0" collapsed="false">
      <c r="A58" s="6" t="s">
        <v>1360</v>
      </c>
      <c r="B58" s="6" t="s">
        <v>1361</v>
      </c>
      <c r="C58" s="6" t="s">
        <v>1362</v>
      </c>
      <c r="D58" s="6"/>
      <c r="E58" s="6"/>
      <c r="F58" s="6" t="s">
        <v>986</v>
      </c>
      <c r="G58" s="6" t="s">
        <v>1363</v>
      </c>
      <c r="H58" s="6" t="s">
        <v>32</v>
      </c>
    </row>
    <row r="59" customFormat="false" ht="35.05" hidden="false" customHeight="false" outlineLevel="0" collapsed="false">
      <c r="A59" s="6" t="s">
        <v>1364</v>
      </c>
      <c r="B59" s="6" t="s">
        <v>1365</v>
      </c>
      <c r="C59" s="6" t="s">
        <v>1366</v>
      </c>
      <c r="D59" s="6"/>
      <c r="E59" s="6"/>
      <c r="F59" s="6" t="s">
        <v>986</v>
      </c>
      <c r="G59" s="6" t="s">
        <v>104</v>
      </c>
      <c r="H59" s="6" t="s">
        <v>33</v>
      </c>
    </row>
    <row r="60" customFormat="false" ht="23.85" hidden="false" customHeight="false" outlineLevel="0" collapsed="false">
      <c r="A60" s="6" t="s">
        <v>1367</v>
      </c>
      <c r="B60" s="6" t="s">
        <v>1368</v>
      </c>
      <c r="C60" s="6" t="s">
        <v>1369</v>
      </c>
      <c r="D60" s="6"/>
      <c r="E60" s="6"/>
      <c r="F60" s="6" t="s">
        <v>406</v>
      </c>
      <c r="G60" s="6" t="s">
        <v>104</v>
      </c>
      <c r="H60" s="6" t="s">
        <v>33</v>
      </c>
    </row>
    <row r="61" customFormat="false" ht="79.85" hidden="false" customHeight="false" outlineLevel="0" collapsed="false">
      <c r="A61" s="6" t="s">
        <v>1370</v>
      </c>
      <c r="B61" s="6" t="s">
        <v>1371</v>
      </c>
      <c r="C61" s="6" t="s">
        <v>1372</v>
      </c>
      <c r="D61" s="6"/>
      <c r="E61" s="6"/>
      <c r="F61" s="6" t="s">
        <v>1353</v>
      </c>
      <c r="G61" s="6" t="s">
        <v>1354</v>
      </c>
      <c r="H61" s="6" t="s">
        <v>33</v>
      </c>
    </row>
    <row r="62" customFormat="false" ht="15" hidden="false" customHeight="false" outlineLevel="0" collapsed="false">
      <c r="A62" s="6"/>
      <c r="B62" s="6"/>
      <c r="C62" s="6"/>
      <c r="D62" s="6"/>
      <c r="E62" s="6"/>
      <c r="F62" s="6"/>
      <c r="G62" s="6"/>
      <c r="H62" s="6"/>
    </row>
  </sheetData>
  <autoFilter ref="A6:H12"/>
  <mergeCells count="7">
    <mergeCell ref="A5:H5"/>
    <mergeCell ref="A14:H14"/>
    <mergeCell ref="A15:H15"/>
    <mergeCell ref="A26:H26"/>
    <mergeCell ref="A27:H27"/>
    <mergeCell ref="A45:H45"/>
    <mergeCell ref="A55:H55"/>
  </mergeCells>
  <conditionalFormatting sqref="H7:H12">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H17:H24">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H29:H43">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conditionalFormatting sqref="H47:H53">
    <cfRule type="cellIs" priority="17" operator="equal" aboveAverage="0" equalAverage="0" bottom="0" percent="0" rank="0" text="" dxfId="9">
      <formula>"Agreed"</formula>
    </cfRule>
    <cfRule type="cellIs" priority="18" operator="equal" aboveAverage="0" equalAverage="0" bottom="0" percent="0" rank="0" text="" dxfId="10">
      <formula>"Proposed"</formula>
    </cfRule>
    <cfRule type="cellIs" priority="19" operator="equal" aboveAverage="0" equalAverage="0" bottom="0" percent="0" rank="0" text="" dxfId="11">
      <formula>"Draft"</formula>
    </cfRule>
    <cfRule type="cellIs" priority="20" operator="equal" aboveAverage="0" equalAverage="0" bottom="0" percent="0" rank="0" text="" dxfId="12">
      <formula>"Needs detail"</formula>
    </cfRule>
    <cfRule type="cellIs" priority="21" operator="equal" aboveAverage="0" equalAverage="0" bottom="0" percent="0" rank="0" text="" dxfId="13">
      <formula>"Not started"</formula>
    </cfRule>
  </conditionalFormatting>
  <conditionalFormatting sqref="H57:H62">
    <cfRule type="cellIs" priority="22" operator="equal" aboveAverage="0" equalAverage="0" bottom="0" percent="0" rank="0" text="" dxfId="9">
      <formula>"Agreed"</formula>
    </cfRule>
    <cfRule type="cellIs" priority="23" operator="equal" aboveAverage="0" equalAverage="0" bottom="0" percent="0" rank="0" text="" dxfId="10">
      <formula>"Proposed"</formula>
    </cfRule>
    <cfRule type="cellIs" priority="24" operator="equal" aboveAverage="0" equalAverage="0" bottom="0" percent="0" rank="0" text="" dxfId="11">
      <formula>"Draft"</formula>
    </cfRule>
    <cfRule type="cellIs" priority="25" operator="equal" aboveAverage="0" equalAverage="0" bottom="0" percent="0" rank="0" text="" dxfId="12">
      <formula>"Needs detail"</formula>
    </cfRule>
    <cfRule type="cellIs" priority="2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H7:H12 H17:H24 H29:H43 H47:H53 H57:H62"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48"/>
    <col collapsed="false" customWidth="true" hidden="false" outlineLevel="0" max="4" min="4" style="0" width="34"/>
    <col collapsed="false" customWidth="true" hidden="false" outlineLevel="0" max="5" min="5" style="0" width="26"/>
    <col collapsed="false" customWidth="true" hidden="false" outlineLevel="0" max="6" min="6" style="0" width="10"/>
    <col collapsed="false" customWidth="true" hidden="false" outlineLevel="0" max="7" min="7" style="0" width="14"/>
    <col collapsed="false" customWidth="true" hidden="false" outlineLevel="0" max="8" min="8" style="0" width="13"/>
  </cols>
  <sheetData>
    <row r="1" customFormat="false" ht="17.35" hidden="false" customHeight="false" outlineLevel="0" collapsed="false">
      <c r="A1" s="1" t="s">
        <v>1373</v>
      </c>
    </row>
    <row r="2" customFormat="false" ht="15" hidden="false" customHeight="false" outlineLevel="0" collapsed="false">
      <c r="A2" s="2" t="s">
        <v>1374</v>
      </c>
    </row>
    <row r="3" customFormat="false" ht="15" hidden="false" customHeight="false" outlineLevel="0" collapsed="false">
      <c r="A3" s="3" t="str">
        <f aca="false">HYPERLINK("#'0 Index'!A1","↩ Index")</f>
        <v>↩ Index</v>
      </c>
    </row>
    <row r="5" customFormat="false" ht="15" hidden="false" customHeight="false" outlineLevel="0" collapsed="false">
      <c r="A5" s="53" t="s">
        <v>56</v>
      </c>
      <c r="B5" s="53"/>
      <c r="C5" s="53"/>
      <c r="D5" s="53"/>
      <c r="E5" s="53"/>
      <c r="F5" s="53"/>
      <c r="G5" s="53"/>
      <c r="H5" s="53"/>
    </row>
    <row r="6" customFormat="false" ht="15" hidden="false" customHeight="false" outlineLevel="0" collapsed="false">
      <c r="A6" s="54" t="s">
        <v>89</v>
      </c>
      <c r="B6" s="54" t="s">
        <v>821</v>
      </c>
      <c r="C6" s="54" t="s">
        <v>91</v>
      </c>
      <c r="D6" s="54" t="s">
        <v>240</v>
      </c>
      <c r="E6" s="54" t="s">
        <v>81</v>
      </c>
      <c r="F6" s="54" t="s">
        <v>79</v>
      </c>
      <c r="G6" s="54" t="s">
        <v>77</v>
      </c>
      <c r="H6" s="54" t="s">
        <v>75</v>
      </c>
    </row>
    <row r="7" customFormat="false" ht="15" hidden="false" customHeight="false" outlineLevel="0" collapsed="false">
      <c r="A7" s="6" t="s">
        <v>1375</v>
      </c>
      <c r="B7" s="6" t="s">
        <v>1376</v>
      </c>
      <c r="C7" s="6" t="s">
        <v>1377</v>
      </c>
      <c r="D7" s="6"/>
      <c r="E7" s="6" t="s">
        <v>1378</v>
      </c>
      <c r="F7" s="6" t="s">
        <v>406</v>
      </c>
      <c r="G7" s="6" t="s">
        <v>682</v>
      </c>
      <c r="H7" s="6" t="s">
        <v>32</v>
      </c>
    </row>
    <row r="8" customFormat="false" ht="15" hidden="false" customHeight="false" outlineLevel="0" collapsed="false">
      <c r="A8" s="6" t="s">
        <v>1379</v>
      </c>
      <c r="B8" s="6" t="s">
        <v>1380</v>
      </c>
      <c r="C8" s="6" t="s">
        <v>1381</v>
      </c>
      <c r="D8" s="6"/>
      <c r="E8" s="6"/>
      <c r="F8" s="6"/>
      <c r="G8" s="6" t="s">
        <v>1382</v>
      </c>
      <c r="H8" s="6" t="s">
        <v>32</v>
      </c>
    </row>
    <row r="9" customFormat="false" ht="15" hidden="false" customHeight="false" outlineLevel="0" collapsed="false">
      <c r="A9" s="6" t="s">
        <v>1383</v>
      </c>
      <c r="B9" s="6" t="s">
        <v>1384</v>
      </c>
      <c r="C9" s="6" t="s">
        <v>1385</v>
      </c>
      <c r="D9" s="6"/>
      <c r="E9" s="6"/>
      <c r="F9" s="6"/>
      <c r="G9" s="6" t="s">
        <v>1382</v>
      </c>
      <c r="H9" s="6" t="s">
        <v>32</v>
      </c>
    </row>
    <row r="10" customFormat="false" ht="15" hidden="false" customHeight="false" outlineLevel="0" collapsed="false">
      <c r="A10" s="6" t="s">
        <v>1386</v>
      </c>
      <c r="B10" s="6" t="s">
        <v>1387</v>
      </c>
      <c r="C10" s="6" t="s">
        <v>1388</v>
      </c>
      <c r="D10" s="6"/>
      <c r="E10" s="6"/>
      <c r="F10" s="6" t="s">
        <v>406</v>
      </c>
      <c r="G10" s="6" t="s">
        <v>682</v>
      </c>
      <c r="H10" s="6" t="s">
        <v>32</v>
      </c>
    </row>
    <row r="11" customFormat="false" ht="46.25" hidden="false" customHeight="false" outlineLevel="0" collapsed="false">
      <c r="A11" s="6" t="s">
        <v>1389</v>
      </c>
      <c r="B11" s="6" t="s">
        <v>1390</v>
      </c>
      <c r="C11" s="6" t="s">
        <v>1391</v>
      </c>
      <c r="D11" s="6"/>
      <c r="E11" s="6" t="s">
        <v>1392</v>
      </c>
      <c r="F11" s="6" t="s">
        <v>406</v>
      </c>
      <c r="G11" s="6" t="s">
        <v>1393</v>
      </c>
      <c r="H11" s="6" t="s">
        <v>32</v>
      </c>
    </row>
    <row r="12" customFormat="false" ht="35.05" hidden="false" customHeight="false" outlineLevel="0" collapsed="false">
      <c r="A12" s="6" t="s">
        <v>1394</v>
      </c>
      <c r="B12" s="6" t="s">
        <v>1395</v>
      </c>
      <c r="C12" s="6" t="s">
        <v>1396</v>
      </c>
      <c r="D12" s="6"/>
      <c r="E12" s="6" t="s">
        <v>1397</v>
      </c>
      <c r="F12" s="6" t="s">
        <v>1398</v>
      </c>
      <c r="G12" s="6" t="s">
        <v>104</v>
      </c>
      <c r="H12" s="6" t="s">
        <v>33</v>
      </c>
    </row>
    <row r="13" customFormat="false" ht="23.85" hidden="false" customHeight="false" outlineLevel="0" collapsed="false">
      <c r="A13" s="6" t="s">
        <v>1399</v>
      </c>
      <c r="B13" s="6" t="s">
        <v>1400</v>
      </c>
      <c r="C13" s="6" t="s">
        <v>1401</v>
      </c>
      <c r="D13" s="6" t="s">
        <v>1402</v>
      </c>
      <c r="E13" s="6"/>
      <c r="F13" s="6" t="s">
        <v>406</v>
      </c>
      <c r="G13" s="6" t="s">
        <v>407</v>
      </c>
      <c r="H13" s="6" t="s">
        <v>33</v>
      </c>
    </row>
    <row r="14" customFormat="false" ht="35.05" hidden="false" customHeight="false" outlineLevel="0" collapsed="false">
      <c r="A14" s="6" t="s">
        <v>1403</v>
      </c>
      <c r="B14" s="6" t="s">
        <v>1404</v>
      </c>
      <c r="C14" s="6" t="s">
        <v>1405</v>
      </c>
      <c r="D14" s="6" t="s">
        <v>1406</v>
      </c>
      <c r="E14" s="6"/>
      <c r="F14" s="6" t="s">
        <v>406</v>
      </c>
      <c r="G14" s="6" t="s">
        <v>104</v>
      </c>
      <c r="H14" s="6" t="s">
        <v>33</v>
      </c>
    </row>
    <row r="15" customFormat="false" ht="23.85" hidden="false" customHeight="false" outlineLevel="0" collapsed="false">
      <c r="A15" s="6" t="s">
        <v>1407</v>
      </c>
      <c r="B15" s="6" t="s">
        <v>1408</v>
      </c>
      <c r="C15" s="6" t="s">
        <v>1409</v>
      </c>
      <c r="D15" s="6"/>
      <c r="E15" s="6" t="s">
        <v>1410</v>
      </c>
      <c r="F15" s="6"/>
      <c r="G15" s="6" t="s">
        <v>1411</v>
      </c>
      <c r="H15" s="6" t="s">
        <v>32</v>
      </c>
    </row>
    <row r="16" customFormat="false" ht="15" hidden="false" customHeight="false" outlineLevel="0" collapsed="false">
      <c r="A16" s="6" t="s">
        <v>1412</v>
      </c>
      <c r="B16" s="6" t="s">
        <v>1413</v>
      </c>
      <c r="C16" s="6" t="s">
        <v>1414</v>
      </c>
      <c r="D16" s="6"/>
      <c r="E16" s="6"/>
      <c r="F16" s="6" t="s">
        <v>311</v>
      </c>
      <c r="G16" s="6" t="s">
        <v>722</v>
      </c>
      <c r="H16" s="6" t="s">
        <v>32</v>
      </c>
    </row>
    <row r="17" customFormat="false" ht="15" hidden="false" customHeight="false" outlineLevel="0" collapsed="false">
      <c r="A17" s="6"/>
      <c r="B17" s="6"/>
      <c r="C17" s="6"/>
      <c r="D17" s="6"/>
      <c r="E17" s="6"/>
      <c r="F17" s="6"/>
      <c r="G17" s="6"/>
      <c r="H17" s="6"/>
    </row>
    <row r="19" customFormat="false" ht="15" hidden="false" customHeight="false" outlineLevel="0" collapsed="false">
      <c r="A19" s="53" t="s">
        <v>1415</v>
      </c>
      <c r="B19" s="53"/>
      <c r="C19" s="53"/>
      <c r="D19" s="53"/>
      <c r="E19" s="53"/>
      <c r="F19" s="53"/>
      <c r="G19" s="53"/>
      <c r="H19" s="53"/>
    </row>
    <row r="20" customFormat="false" ht="15" hidden="false" customHeight="true" outlineLevel="0" collapsed="false">
      <c r="A20" s="8" t="s">
        <v>1416</v>
      </c>
      <c r="B20" s="8"/>
      <c r="C20" s="8"/>
      <c r="D20" s="8"/>
      <c r="E20" s="8"/>
      <c r="F20" s="8"/>
      <c r="G20" s="8"/>
      <c r="H20" s="8"/>
    </row>
    <row r="21" customFormat="false" ht="15" hidden="false" customHeight="false" outlineLevel="0" collapsed="false">
      <c r="A21" s="54" t="s">
        <v>89</v>
      </c>
      <c r="B21" s="54" t="s">
        <v>1417</v>
      </c>
      <c r="C21" s="54" t="s">
        <v>1418</v>
      </c>
      <c r="D21" s="54" t="s">
        <v>1419</v>
      </c>
      <c r="E21" s="54" t="s">
        <v>1420</v>
      </c>
      <c r="F21" s="54" t="s">
        <v>79</v>
      </c>
      <c r="G21" s="54" t="s">
        <v>77</v>
      </c>
      <c r="H21" s="54" t="s">
        <v>75</v>
      </c>
    </row>
    <row r="22" customFormat="false" ht="23.85" hidden="false" customHeight="false" outlineLevel="0" collapsed="false">
      <c r="A22" s="6" t="s">
        <v>1421</v>
      </c>
      <c r="B22" s="6" t="s">
        <v>1422</v>
      </c>
      <c r="C22" s="6" t="s">
        <v>1423</v>
      </c>
      <c r="D22" s="6" t="s">
        <v>1424</v>
      </c>
      <c r="E22" s="6" t="s">
        <v>1425</v>
      </c>
      <c r="F22" s="6" t="s">
        <v>406</v>
      </c>
      <c r="G22" s="6" t="s">
        <v>1426</v>
      </c>
      <c r="H22" s="6" t="s">
        <v>32</v>
      </c>
    </row>
    <row r="23" customFormat="false" ht="23.85" hidden="false" customHeight="false" outlineLevel="0" collapsed="false">
      <c r="A23" s="6" t="s">
        <v>1427</v>
      </c>
      <c r="B23" s="6" t="s">
        <v>1428</v>
      </c>
      <c r="C23" s="6" t="s">
        <v>1429</v>
      </c>
      <c r="D23" s="6" t="s">
        <v>1430</v>
      </c>
      <c r="E23" s="6" t="s">
        <v>1431</v>
      </c>
      <c r="F23" s="6" t="s">
        <v>406</v>
      </c>
      <c r="G23" s="6" t="s">
        <v>1426</v>
      </c>
      <c r="H23" s="6" t="s">
        <v>32</v>
      </c>
    </row>
    <row r="24" customFormat="false" ht="23.85" hidden="false" customHeight="false" outlineLevel="0" collapsed="false">
      <c r="A24" s="6" t="s">
        <v>1432</v>
      </c>
      <c r="B24" s="6" t="s">
        <v>1433</v>
      </c>
      <c r="C24" s="6" t="s">
        <v>1434</v>
      </c>
      <c r="D24" s="6" t="s">
        <v>1435</v>
      </c>
      <c r="E24" s="6" t="s">
        <v>1436</v>
      </c>
      <c r="F24" s="6" t="s">
        <v>406</v>
      </c>
      <c r="G24" s="6" t="s">
        <v>1426</v>
      </c>
      <c r="H24" s="6" t="s">
        <v>32</v>
      </c>
    </row>
    <row r="25" customFormat="false" ht="23.85" hidden="false" customHeight="false" outlineLevel="0" collapsed="false">
      <c r="A25" s="6" t="s">
        <v>1437</v>
      </c>
      <c r="B25" s="6" t="s">
        <v>229</v>
      </c>
      <c r="C25" s="6" t="s">
        <v>1438</v>
      </c>
      <c r="D25" s="6" t="s">
        <v>1043</v>
      </c>
      <c r="E25" s="6" t="s">
        <v>1431</v>
      </c>
      <c r="F25" s="6" t="s">
        <v>406</v>
      </c>
      <c r="G25" s="6" t="s">
        <v>1426</v>
      </c>
      <c r="H25" s="6" t="s">
        <v>32</v>
      </c>
    </row>
    <row r="26" customFormat="false" ht="23.85" hidden="false" customHeight="false" outlineLevel="0" collapsed="false">
      <c r="A26" s="6" t="s">
        <v>1439</v>
      </c>
      <c r="B26" s="6" t="s">
        <v>1440</v>
      </c>
      <c r="C26" s="6" t="s">
        <v>1441</v>
      </c>
      <c r="D26" s="6" t="s">
        <v>1047</v>
      </c>
      <c r="E26" s="6" t="s">
        <v>1431</v>
      </c>
      <c r="F26" s="6" t="s">
        <v>406</v>
      </c>
      <c r="G26" s="6" t="s">
        <v>1426</v>
      </c>
      <c r="H26" s="6" t="s">
        <v>32</v>
      </c>
    </row>
    <row r="27" customFormat="false" ht="15" hidden="false" customHeight="false" outlineLevel="0" collapsed="false">
      <c r="A27" s="6"/>
      <c r="B27" s="6"/>
      <c r="C27" s="6"/>
      <c r="D27" s="6"/>
      <c r="E27" s="6"/>
      <c r="F27" s="6"/>
      <c r="G27" s="6"/>
      <c r="H27" s="6"/>
    </row>
    <row r="29" customFormat="false" ht="15" hidden="false" customHeight="false" outlineLevel="0" collapsed="false">
      <c r="A29" s="53" t="s">
        <v>1442</v>
      </c>
      <c r="B29" s="53"/>
      <c r="C29" s="53"/>
      <c r="D29" s="53"/>
      <c r="E29" s="53"/>
      <c r="F29" s="53"/>
      <c r="G29" s="53"/>
      <c r="H29" s="53"/>
    </row>
    <row r="30" customFormat="false" ht="15" hidden="false" customHeight="true" outlineLevel="0" collapsed="false">
      <c r="A30" s="8" t="s">
        <v>1443</v>
      </c>
      <c r="B30" s="8"/>
      <c r="C30" s="8"/>
      <c r="D30" s="8"/>
      <c r="E30" s="8"/>
      <c r="F30" s="8"/>
      <c r="G30" s="8"/>
      <c r="H30" s="8"/>
    </row>
    <row r="31" customFormat="false" ht="15" hidden="false" customHeight="false" outlineLevel="0" collapsed="false">
      <c r="A31" s="54" t="s">
        <v>89</v>
      </c>
      <c r="B31" s="54" t="s">
        <v>1444</v>
      </c>
      <c r="C31" s="54" t="s">
        <v>1445</v>
      </c>
      <c r="D31" s="54" t="s">
        <v>1446</v>
      </c>
      <c r="E31" s="54" t="s">
        <v>81</v>
      </c>
      <c r="F31" s="54" t="s">
        <v>79</v>
      </c>
      <c r="G31" s="54" t="s">
        <v>77</v>
      </c>
      <c r="H31" s="54" t="s">
        <v>75</v>
      </c>
    </row>
    <row r="32" customFormat="false" ht="23.85" hidden="false" customHeight="false" outlineLevel="0" collapsed="false">
      <c r="A32" s="6" t="s">
        <v>1447</v>
      </c>
      <c r="B32" s="6" t="s">
        <v>1448</v>
      </c>
      <c r="C32" s="6" t="s">
        <v>1449</v>
      </c>
      <c r="D32" s="6" t="s">
        <v>1450</v>
      </c>
      <c r="E32" s="6" t="s">
        <v>1451</v>
      </c>
      <c r="F32" s="6" t="s">
        <v>406</v>
      </c>
      <c r="G32" s="6" t="s">
        <v>1426</v>
      </c>
      <c r="H32" s="6" t="s">
        <v>32</v>
      </c>
    </row>
    <row r="33" customFormat="false" ht="23.85" hidden="false" customHeight="false" outlineLevel="0" collapsed="false">
      <c r="A33" s="6" t="s">
        <v>1452</v>
      </c>
      <c r="B33" s="6" t="s">
        <v>1453</v>
      </c>
      <c r="C33" s="6" t="s">
        <v>1449</v>
      </c>
      <c r="D33" s="6" t="s">
        <v>1450</v>
      </c>
      <c r="E33" s="6" t="s">
        <v>1454</v>
      </c>
      <c r="F33" s="6" t="s">
        <v>406</v>
      </c>
      <c r="G33" s="6" t="s">
        <v>1426</v>
      </c>
      <c r="H33" s="6" t="s">
        <v>32</v>
      </c>
    </row>
    <row r="34" customFormat="false" ht="23.85" hidden="false" customHeight="false" outlineLevel="0" collapsed="false">
      <c r="A34" s="6" t="s">
        <v>1455</v>
      </c>
      <c r="B34" s="6" t="s">
        <v>1456</v>
      </c>
      <c r="C34" s="6" t="s">
        <v>1431</v>
      </c>
      <c r="D34" s="6" t="s">
        <v>1457</v>
      </c>
      <c r="E34" s="6" t="s">
        <v>1458</v>
      </c>
      <c r="F34" s="6" t="s">
        <v>406</v>
      </c>
      <c r="G34" s="6" t="s">
        <v>1426</v>
      </c>
      <c r="H34" s="6" t="s">
        <v>32</v>
      </c>
    </row>
    <row r="35" customFormat="false" ht="23.85" hidden="false" customHeight="false" outlineLevel="0" collapsed="false">
      <c r="A35" s="6" t="s">
        <v>1459</v>
      </c>
      <c r="B35" s="6" t="s">
        <v>1460</v>
      </c>
      <c r="C35" s="6" t="s">
        <v>1461</v>
      </c>
      <c r="D35" s="6" t="s">
        <v>1462</v>
      </c>
      <c r="E35" s="6" t="s">
        <v>1463</v>
      </c>
      <c r="F35" s="6" t="s">
        <v>406</v>
      </c>
      <c r="G35" s="6" t="s">
        <v>1426</v>
      </c>
      <c r="H35" s="6" t="s">
        <v>32</v>
      </c>
    </row>
    <row r="36" customFormat="false" ht="23.85" hidden="false" customHeight="false" outlineLevel="0" collapsed="false">
      <c r="A36" s="6" t="s">
        <v>1464</v>
      </c>
      <c r="B36" s="6" t="s">
        <v>1465</v>
      </c>
      <c r="C36" s="6" t="s">
        <v>1466</v>
      </c>
      <c r="D36" s="6" t="s">
        <v>64</v>
      </c>
      <c r="E36" s="6" t="s">
        <v>1467</v>
      </c>
      <c r="F36" s="6" t="s">
        <v>130</v>
      </c>
      <c r="G36" s="6" t="s">
        <v>1426</v>
      </c>
      <c r="H36" s="6" t="s">
        <v>32</v>
      </c>
    </row>
    <row r="37" customFormat="false" ht="15" hidden="false" customHeight="false" outlineLevel="0" collapsed="false">
      <c r="A37" s="6"/>
      <c r="B37" s="6"/>
      <c r="C37" s="6"/>
      <c r="D37" s="6"/>
      <c r="E37" s="6"/>
      <c r="F37" s="6"/>
      <c r="G37" s="6"/>
      <c r="H37" s="6"/>
    </row>
  </sheetData>
  <autoFilter ref="A6:H17"/>
  <mergeCells count="5">
    <mergeCell ref="A5:H5"/>
    <mergeCell ref="A19:H19"/>
    <mergeCell ref="A20:H20"/>
    <mergeCell ref="A29:H29"/>
    <mergeCell ref="A30:H30"/>
  </mergeCells>
  <conditionalFormatting sqref="H7:H17">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H22:H27">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H32:H37">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H7:H17 H22:H27 H32:H37"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34"/>
    <col collapsed="false" customWidth="true" hidden="false" outlineLevel="0" max="4" min="4" style="0" width="40"/>
    <col collapsed="false" customWidth="true" hidden="false" outlineLevel="0" max="5" min="5" style="0" width="30"/>
    <col collapsed="false" customWidth="true" hidden="false" outlineLevel="0" max="6" min="6" style="0" width="22"/>
    <col collapsed="false" customWidth="true" hidden="false" outlineLevel="0" max="7" min="7" style="0" width="1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1468</v>
      </c>
    </row>
    <row r="2" customFormat="false" ht="15" hidden="false" customHeight="false" outlineLevel="0" collapsed="false">
      <c r="A2" s="2" t="s">
        <v>1469</v>
      </c>
    </row>
    <row r="3" customFormat="false" ht="15" hidden="false" customHeight="false" outlineLevel="0" collapsed="false">
      <c r="A3" s="3" t="str">
        <f aca="false">HYPERLINK("#'0 Index'!A1","↩ Index")</f>
        <v>↩ Index</v>
      </c>
    </row>
    <row r="5" customFormat="false" ht="15" hidden="false" customHeight="false" outlineLevel="0" collapsed="false">
      <c r="A5" s="53" t="s">
        <v>1470</v>
      </c>
      <c r="B5" s="53"/>
      <c r="C5" s="53"/>
      <c r="D5" s="53"/>
      <c r="E5" s="53"/>
      <c r="F5" s="53"/>
      <c r="G5" s="53"/>
      <c r="H5" s="53"/>
      <c r="I5" s="53"/>
    </row>
    <row r="6" customFormat="false" ht="15" hidden="false" customHeight="false" outlineLevel="0" collapsed="false">
      <c r="A6" s="54" t="s">
        <v>89</v>
      </c>
      <c r="B6" s="54" t="s">
        <v>1471</v>
      </c>
      <c r="C6" s="54" t="s">
        <v>1472</v>
      </c>
      <c r="D6" s="54" t="s">
        <v>1473</v>
      </c>
      <c r="E6" s="54" t="s">
        <v>240</v>
      </c>
      <c r="F6" s="54" t="s">
        <v>81</v>
      </c>
      <c r="G6" s="54" t="s">
        <v>79</v>
      </c>
      <c r="H6" s="54" t="s">
        <v>77</v>
      </c>
      <c r="I6" s="54" t="s">
        <v>75</v>
      </c>
    </row>
    <row r="7" customFormat="false" ht="35.05" hidden="false" customHeight="false" outlineLevel="0" collapsed="false">
      <c r="A7" s="6" t="s">
        <v>1474</v>
      </c>
      <c r="B7" s="6" t="s">
        <v>1475</v>
      </c>
      <c r="C7" s="6" t="s">
        <v>1476</v>
      </c>
      <c r="D7" s="6" t="s">
        <v>1477</v>
      </c>
      <c r="E7" s="6" t="s">
        <v>1478</v>
      </c>
      <c r="F7" s="6"/>
      <c r="G7" s="6" t="s">
        <v>116</v>
      </c>
      <c r="H7" s="6" t="s">
        <v>1479</v>
      </c>
      <c r="I7" s="6" t="s">
        <v>33</v>
      </c>
    </row>
    <row r="8" customFormat="false" ht="23.85" hidden="false" customHeight="false" outlineLevel="0" collapsed="false">
      <c r="A8" s="6" t="s">
        <v>1480</v>
      </c>
      <c r="B8" s="6" t="s">
        <v>1481</v>
      </c>
      <c r="C8" s="6" t="s">
        <v>1482</v>
      </c>
      <c r="D8" s="6" t="s">
        <v>1483</v>
      </c>
      <c r="E8" s="6" t="s">
        <v>1484</v>
      </c>
      <c r="F8" s="6"/>
      <c r="G8" s="6" t="s">
        <v>116</v>
      </c>
      <c r="H8" s="6" t="s">
        <v>1485</v>
      </c>
      <c r="I8" s="6" t="s">
        <v>33</v>
      </c>
    </row>
    <row r="9" customFormat="false" ht="46.25" hidden="false" customHeight="false" outlineLevel="0" collapsed="false">
      <c r="A9" s="6" t="s">
        <v>1486</v>
      </c>
      <c r="B9" s="6" t="s">
        <v>1487</v>
      </c>
      <c r="C9" s="6" t="s">
        <v>1488</v>
      </c>
      <c r="D9" s="6" t="s">
        <v>1489</v>
      </c>
      <c r="E9" s="6" t="s">
        <v>1490</v>
      </c>
      <c r="F9" s="6" t="s">
        <v>1491</v>
      </c>
      <c r="G9" s="6" t="s">
        <v>1492</v>
      </c>
      <c r="H9" s="6" t="s">
        <v>1493</v>
      </c>
      <c r="I9" s="6" t="s">
        <v>32</v>
      </c>
    </row>
    <row r="10" customFormat="false" ht="23.85" hidden="false" customHeight="false" outlineLevel="0" collapsed="false">
      <c r="A10" s="6" t="s">
        <v>1494</v>
      </c>
      <c r="B10" s="6" t="s">
        <v>1495</v>
      </c>
      <c r="C10" s="6" t="s">
        <v>1496</v>
      </c>
      <c r="D10" s="6" t="s">
        <v>1497</v>
      </c>
      <c r="E10" s="6"/>
      <c r="F10" s="6"/>
      <c r="G10" s="6" t="s">
        <v>140</v>
      </c>
      <c r="H10" s="6" t="s">
        <v>1182</v>
      </c>
      <c r="I10" s="6" t="s">
        <v>32</v>
      </c>
    </row>
    <row r="11" customFormat="false" ht="15" hidden="false" customHeight="false" outlineLevel="0" collapsed="false">
      <c r="A11" s="6"/>
      <c r="B11" s="6"/>
      <c r="C11" s="6"/>
      <c r="D11" s="6"/>
      <c r="E11" s="6"/>
      <c r="F11" s="6"/>
      <c r="G11" s="6"/>
      <c r="H11" s="6"/>
      <c r="I11" s="6"/>
    </row>
    <row r="13" customFormat="false" ht="15" hidden="false" customHeight="false" outlineLevel="0" collapsed="false">
      <c r="A13" s="53" t="s">
        <v>1498</v>
      </c>
      <c r="B13" s="53"/>
      <c r="C13" s="53"/>
      <c r="D13" s="53"/>
      <c r="E13" s="53"/>
      <c r="F13" s="53"/>
      <c r="G13" s="53"/>
      <c r="H13" s="53"/>
      <c r="I13" s="53"/>
    </row>
    <row r="14" customFormat="false" ht="15" hidden="false" customHeight="true" outlineLevel="0" collapsed="false">
      <c r="A14" s="8" t="s">
        <v>1499</v>
      </c>
      <c r="B14" s="8"/>
      <c r="C14" s="8"/>
      <c r="D14" s="8"/>
      <c r="E14" s="8"/>
      <c r="F14" s="8"/>
      <c r="G14" s="8"/>
      <c r="H14" s="8"/>
      <c r="I14" s="8"/>
    </row>
    <row r="15" customFormat="false" ht="15" hidden="false" customHeight="false" outlineLevel="0" collapsed="false">
      <c r="A15" s="54" t="s">
        <v>89</v>
      </c>
      <c r="B15" s="54" t="s">
        <v>452</v>
      </c>
      <c r="C15" s="54" t="s">
        <v>1500</v>
      </c>
      <c r="D15" s="54" t="s">
        <v>1501</v>
      </c>
      <c r="E15" s="54" t="s">
        <v>1502</v>
      </c>
      <c r="F15" s="54" t="s">
        <v>81</v>
      </c>
      <c r="G15" s="54" t="s">
        <v>79</v>
      </c>
      <c r="H15" s="54" t="s">
        <v>77</v>
      </c>
      <c r="I15" s="54" t="s">
        <v>75</v>
      </c>
    </row>
    <row r="16" customFormat="false" ht="35.05" hidden="false" customHeight="false" outlineLevel="0" collapsed="false">
      <c r="A16" s="6" t="s">
        <v>1503</v>
      </c>
      <c r="B16" s="6" t="s">
        <v>1504</v>
      </c>
      <c r="C16" s="6" t="s">
        <v>1505</v>
      </c>
      <c r="D16" s="6"/>
      <c r="E16" s="6"/>
      <c r="F16" s="6" t="s">
        <v>1506</v>
      </c>
      <c r="G16" s="6" t="s">
        <v>1507</v>
      </c>
      <c r="H16" s="6" t="s">
        <v>1508</v>
      </c>
      <c r="I16" s="6" t="s">
        <v>32</v>
      </c>
    </row>
    <row r="17" customFormat="false" ht="35.05" hidden="false" customHeight="false" outlineLevel="0" collapsed="false">
      <c r="A17" s="6" t="s">
        <v>1509</v>
      </c>
      <c r="B17" s="6" t="s">
        <v>1510</v>
      </c>
      <c r="C17" s="6" t="s">
        <v>1511</v>
      </c>
      <c r="D17" s="6" t="s">
        <v>1512</v>
      </c>
      <c r="E17" s="6" t="s">
        <v>1513</v>
      </c>
      <c r="F17" s="6" t="s">
        <v>1514</v>
      </c>
      <c r="G17" s="6" t="s">
        <v>116</v>
      </c>
      <c r="H17" s="6" t="s">
        <v>104</v>
      </c>
      <c r="I17" s="6" t="s">
        <v>33</v>
      </c>
    </row>
    <row r="18" customFormat="false" ht="57.45" hidden="false" customHeight="false" outlineLevel="0" collapsed="false">
      <c r="A18" s="6" t="s">
        <v>1515</v>
      </c>
      <c r="B18" s="6" t="s">
        <v>1422</v>
      </c>
      <c r="C18" s="6" t="s">
        <v>1516</v>
      </c>
      <c r="D18" s="6" t="s">
        <v>1517</v>
      </c>
      <c r="E18" s="6" t="s">
        <v>1518</v>
      </c>
      <c r="F18" s="6" t="s">
        <v>1519</v>
      </c>
      <c r="G18" s="6" t="s">
        <v>116</v>
      </c>
      <c r="H18" s="6" t="s">
        <v>104</v>
      </c>
      <c r="I18" s="6" t="s">
        <v>33</v>
      </c>
    </row>
    <row r="19" customFormat="false" ht="35.05" hidden="false" customHeight="false" outlineLevel="0" collapsed="false">
      <c r="A19" s="6" t="s">
        <v>1520</v>
      </c>
      <c r="B19" s="6" t="s">
        <v>1428</v>
      </c>
      <c r="C19" s="6" t="s">
        <v>1521</v>
      </c>
      <c r="D19" s="6" t="s">
        <v>1522</v>
      </c>
      <c r="E19" s="6"/>
      <c r="F19" s="6" t="s">
        <v>1523</v>
      </c>
      <c r="G19" s="6" t="s">
        <v>116</v>
      </c>
      <c r="H19" s="6" t="s">
        <v>104</v>
      </c>
      <c r="I19" s="6" t="s">
        <v>33</v>
      </c>
    </row>
    <row r="20" customFormat="false" ht="35.05" hidden="false" customHeight="false" outlineLevel="0" collapsed="false">
      <c r="A20" s="6" t="s">
        <v>1524</v>
      </c>
      <c r="B20" s="6" t="s">
        <v>1525</v>
      </c>
      <c r="C20" s="6" t="s">
        <v>1526</v>
      </c>
      <c r="D20" s="6"/>
      <c r="E20" s="6"/>
      <c r="F20" s="6" t="s">
        <v>1527</v>
      </c>
      <c r="G20" s="6" t="s">
        <v>969</v>
      </c>
      <c r="H20" s="6" t="s">
        <v>970</v>
      </c>
      <c r="I20" s="6" t="s">
        <v>33</v>
      </c>
    </row>
    <row r="21" customFormat="false" ht="35.05" hidden="false" customHeight="false" outlineLevel="0" collapsed="false">
      <c r="A21" s="6" t="s">
        <v>1528</v>
      </c>
      <c r="B21" s="6" t="s">
        <v>1529</v>
      </c>
      <c r="C21" s="6" t="s">
        <v>1530</v>
      </c>
      <c r="D21" s="6" t="s">
        <v>1531</v>
      </c>
      <c r="E21" s="6"/>
      <c r="F21" s="6"/>
      <c r="G21" s="6" t="s">
        <v>99</v>
      </c>
      <c r="H21" s="6" t="s">
        <v>104</v>
      </c>
      <c r="I21" s="6" t="s">
        <v>33</v>
      </c>
    </row>
    <row r="22" customFormat="false" ht="35.05" hidden="false" customHeight="false" outlineLevel="0" collapsed="false">
      <c r="A22" s="6" t="s">
        <v>1532</v>
      </c>
      <c r="B22" s="6" t="s">
        <v>1533</v>
      </c>
      <c r="C22" s="6" t="s">
        <v>1534</v>
      </c>
      <c r="D22" s="6" t="s">
        <v>1535</v>
      </c>
      <c r="E22" s="6" t="s">
        <v>1536</v>
      </c>
      <c r="F22" s="6"/>
      <c r="G22" s="6" t="s">
        <v>116</v>
      </c>
      <c r="H22" s="6" t="s">
        <v>104</v>
      </c>
      <c r="I22" s="6" t="s">
        <v>33</v>
      </c>
    </row>
    <row r="23" customFormat="false" ht="46.25" hidden="false" customHeight="false" outlineLevel="0" collapsed="false">
      <c r="A23" s="6" t="s">
        <v>1537</v>
      </c>
      <c r="B23" s="6" t="s">
        <v>1538</v>
      </c>
      <c r="C23" s="6" t="s">
        <v>1539</v>
      </c>
      <c r="D23" s="6" t="s">
        <v>1540</v>
      </c>
      <c r="E23" s="6"/>
      <c r="F23" s="6"/>
      <c r="G23" s="6" t="s">
        <v>1541</v>
      </c>
      <c r="H23" s="6" t="s">
        <v>1542</v>
      </c>
      <c r="I23" s="6" t="s">
        <v>33</v>
      </c>
    </row>
    <row r="24" customFormat="false" ht="35.05" hidden="false" customHeight="false" outlineLevel="0" collapsed="false">
      <c r="A24" s="6" t="s">
        <v>1543</v>
      </c>
      <c r="B24" s="6" t="s">
        <v>1544</v>
      </c>
      <c r="C24" s="6" t="s">
        <v>1545</v>
      </c>
      <c r="D24" s="6"/>
      <c r="E24" s="6"/>
      <c r="F24" s="6"/>
      <c r="G24" s="6" t="s">
        <v>116</v>
      </c>
      <c r="H24" s="6" t="s">
        <v>104</v>
      </c>
      <c r="I24" s="6" t="s">
        <v>33</v>
      </c>
    </row>
    <row r="25" customFormat="false" ht="46.25" hidden="false" customHeight="false" outlineLevel="0" collapsed="false">
      <c r="A25" s="6" t="s">
        <v>1546</v>
      </c>
      <c r="B25" s="6" t="s">
        <v>1547</v>
      </c>
      <c r="C25" s="6" t="s">
        <v>1548</v>
      </c>
      <c r="D25" s="6"/>
      <c r="E25" s="6" t="s">
        <v>1549</v>
      </c>
      <c r="F25" s="6" t="s">
        <v>1550</v>
      </c>
      <c r="G25" s="6" t="s">
        <v>1551</v>
      </c>
      <c r="H25" s="6" t="s">
        <v>104</v>
      </c>
      <c r="I25" s="6" t="s">
        <v>33</v>
      </c>
    </row>
    <row r="26" customFormat="false" ht="35.05" hidden="false" customHeight="false" outlineLevel="0" collapsed="false">
      <c r="A26" s="6" t="s">
        <v>1552</v>
      </c>
      <c r="B26" s="6" t="s">
        <v>1553</v>
      </c>
      <c r="C26" s="6" t="s">
        <v>1554</v>
      </c>
      <c r="D26" s="6"/>
      <c r="E26" s="6"/>
      <c r="F26" s="6"/>
      <c r="G26" s="6" t="s">
        <v>986</v>
      </c>
      <c r="H26" s="6" t="s">
        <v>1363</v>
      </c>
      <c r="I26" s="6" t="s">
        <v>32</v>
      </c>
    </row>
    <row r="27" customFormat="false" ht="23.85" hidden="false" customHeight="false" outlineLevel="0" collapsed="false">
      <c r="A27" s="6" t="s">
        <v>1555</v>
      </c>
      <c r="B27" s="6" t="s">
        <v>1556</v>
      </c>
      <c r="C27" s="6" t="s">
        <v>1557</v>
      </c>
      <c r="D27" s="6"/>
      <c r="E27" s="6"/>
      <c r="F27" s="6"/>
      <c r="G27" s="6" t="s">
        <v>130</v>
      </c>
      <c r="H27" s="6" t="s">
        <v>785</v>
      </c>
      <c r="I27" s="6" t="s">
        <v>32</v>
      </c>
    </row>
    <row r="28" customFormat="false" ht="35.05" hidden="false" customHeight="false" outlineLevel="0" collapsed="false">
      <c r="A28" s="6" t="s">
        <v>1558</v>
      </c>
      <c r="B28" s="6" t="s">
        <v>1559</v>
      </c>
      <c r="C28" s="6" t="s">
        <v>1560</v>
      </c>
      <c r="D28" s="6"/>
      <c r="E28" s="6"/>
      <c r="F28" s="6" t="s">
        <v>856</v>
      </c>
      <c r="G28" s="6" t="s">
        <v>705</v>
      </c>
      <c r="H28" s="6" t="s">
        <v>706</v>
      </c>
      <c r="I28" s="6" t="s">
        <v>32</v>
      </c>
    </row>
    <row r="29" customFormat="false" ht="15" hidden="false" customHeight="false" outlineLevel="0" collapsed="false">
      <c r="A29" s="6"/>
      <c r="B29" s="6"/>
      <c r="C29" s="6"/>
      <c r="D29" s="6"/>
      <c r="E29" s="6"/>
      <c r="F29" s="6"/>
      <c r="G29" s="6"/>
      <c r="H29" s="6"/>
      <c r="I29" s="6"/>
    </row>
    <row r="30" customFormat="false" ht="15" hidden="false" customHeight="false" outlineLevel="0" collapsed="false">
      <c r="A30" s="6"/>
      <c r="B30" s="6"/>
      <c r="C30" s="6"/>
      <c r="D30" s="6"/>
      <c r="E30" s="6"/>
      <c r="F30" s="6"/>
      <c r="G30" s="6"/>
      <c r="H30" s="6"/>
      <c r="I30" s="6"/>
    </row>
  </sheetData>
  <autoFilter ref="A6:I11"/>
  <mergeCells count="3">
    <mergeCell ref="A5:I5"/>
    <mergeCell ref="A13:I13"/>
    <mergeCell ref="A14:I14"/>
  </mergeCells>
  <conditionalFormatting sqref="I7:I11">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I16:I30">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I7:I11 I16:I30"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34"/>
    <col collapsed="false" customWidth="true" hidden="false" outlineLevel="0" max="5" min="4" style="0" width="14"/>
    <col collapsed="false" customWidth="true" hidden="false" outlineLevel="0" max="6" min="6" style="0" width="30"/>
    <col collapsed="false" customWidth="true" hidden="false" outlineLevel="0" max="7" min="7" style="0" width="10"/>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1561</v>
      </c>
    </row>
    <row r="2" customFormat="false" ht="15" hidden="false" customHeight="false" outlineLevel="0" collapsed="false">
      <c r="A2" s="2" t="s">
        <v>1562</v>
      </c>
    </row>
    <row r="3" customFormat="false" ht="15" hidden="false" customHeight="false" outlineLevel="0" collapsed="false">
      <c r="A3" s="3" t="str">
        <f aca="false">HYPERLINK("#'0 Index'!A1","↩ Index")</f>
        <v>↩ Index</v>
      </c>
    </row>
    <row r="5" customFormat="false" ht="15" hidden="false" customHeight="false" outlineLevel="0" collapsed="false">
      <c r="A5" s="53" t="s">
        <v>1563</v>
      </c>
      <c r="B5" s="53"/>
      <c r="C5" s="53"/>
      <c r="D5" s="53"/>
      <c r="E5" s="53"/>
      <c r="F5" s="53"/>
      <c r="G5" s="53"/>
      <c r="H5" s="53"/>
      <c r="I5" s="53"/>
    </row>
    <row r="6" customFormat="false" ht="15" hidden="false" customHeight="true" outlineLevel="0" collapsed="false">
      <c r="A6" s="8" t="s">
        <v>1564</v>
      </c>
      <c r="B6" s="8"/>
      <c r="C6" s="8"/>
      <c r="D6" s="8"/>
      <c r="E6" s="8"/>
      <c r="F6" s="8"/>
      <c r="G6" s="8"/>
      <c r="H6" s="8"/>
      <c r="I6" s="8"/>
    </row>
    <row r="7" customFormat="false" ht="15" hidden="false" customHeight="false" outlineLevel="0" collapsed="false">
      <c r="A7" s="54" t="s">
        <v>89</v>
      </c>
      <c r="B7" s="54" t="s">
        <v>1565</v>
      </c>
      <c r="C7" s="54" t="s">
        <v>1472</v>
      </c>
      <c r="D7" s="54" t="s">
        <v>1566</v>
      </c>
      <c r="E7" s="54" t="s">
        <v>1567</v>
      </c>
      <c r="F7" s="54" t="s">
        <v>81</v>
      </c>
      <c r="G7" s="54" t="s">
        <v>79</v>
      </c>
      <c r="H7" s="54" t="s">
        <v>77</v>
      </c>
      <c r="I7" s="54" t="s">
        <v>75</v>
      </c>
    </row>
    <row r="8" customFormat="false" ht="15" hidden="false" customHeight="false" outlineLevel="0" collapsed="false">
      <c r="A8" s="6" t="s">
        <v>1568</v>
      </c>
      <c r="B8" s="6" t="s">
        <v>1569</v>
      </c>
      <c r="C8" s="6" t="s">
        <v>1570</v>
      </c>
      <c r="D8" s="6" t="s">
        <v>1571</v>
      </c>
      <c r="E8" s="6" t="s">
        <v>64</v>
      </c>
      <c r="F8" s="6" t="s">
        <v>1572</v>
      </c>
      <c r="G8" s="6" t="s">
        <v>154</v>
      </c>
      <c r="H8" s="6" t="s">
        <v>1573</v>
      </c>
      <c r="I8" s="6" t="s">
        <v>33</v>
      </c>
    </row>
    <row r="9" customFormat="false" ht="23.85" hidden="false" customHeight="false" outlineLevel="0" collapsed="false">
      <c r="A9" s="6" t="s">
        <v>1574</v>
      </c>
      <c r="B9" s="6" t="s">
        <v>1575</v>
      </c>
      <c r="C9" s="6" t="s">
        <v>1576</v>
      </c>
      <c r="D9" s="6" t="s">
        <v>1577</v>
      </c>
      <c r="E9" s="6" t="s">
        <v>64</v>
      </c>
      <c r="F9" s="6" t="s">
        <v>1578</v>
      </c>
      <c r="G9" s="6" t="s">
        <v>140</v>
      </c>
      <c r="H9" s="6" t="s">
        <v>1579</v>
      </c>
      <c r="I9" s="6" t="s">
        <v>32</v>
      </c>
    </row>
    <row r="10" customFormat="false" ht="23.85" hidden="false" customHeight="false" outlineLevel="0" collapsed="false">
      <c r="A10" s="6" t="s">
        <v>1580</v>
      </c>
      <c r="B10" s="6" t="s">
        <v>1581</v>
      </c>
      <c r="C10" s="6" t="s">
        <v>1582</v>
      </c>
      <c r="D10" s="6" t="s">
        <v>1583</v>
      </c>
      <c r="E10" s="6" t="s">
        <v>1584</v>
      </c>
      <c r="F10" s="6" t="s">
        <v>1585</v>
      </c>
      <c r="G10" s="6" t="s">
        <v>1541</v>
      </c>
      <c r="H10" s="6" t="s">
        <v>1586</v>
      </c>
      <c r="I10" s="6" t="s">
        <v>33</v>
      </c>
    </row>
    <row r="11" customFormat="false" ht="23.85" hidden="false" customHeight="false" outlineLevel="0" collapsed="false">
      <c r="A11" s="6" t="s">
        <v>1587</v>
      </c>
      <c r="B11" s="6" t="s">
        <v>1588</v>
      </c>
      <c r="C11" s="6" t="s">
        <v>1589</v>
      </c>
      <c r="D11" s="6" t="s">
        <v>1583</v>
      </c>
      <c r="E11" s="6" t="s">
        <v>1577</v>
      </c>
      <c r="F11" s="6" t="s">
        <v>1590</v>
      </c>
      <c r="G11" s="6" t="s">
        <v>1541</v>
      </c>
      <c r="H11" s="6" t="s">
        <v>1591</v>
      </c>
      <c r="I11" s="6" t="s">
        <v>33</v>
      </c>
    </row>
    <row r="12" customFormat="false" ht="23.85" hidden="false" customHeight="false" outlineLevel="0" collapsed="false">
      <c r="A12" s="6" t="s">
        <v>1592</v>
      </c>
      <c r="B12" s="6" t="s">
        <v>1593</v>
      </c>
      <c r="C12" s="6" t="s">
        <v>1594</v>
      </c>
      <c r="D12" s="6" t="s">
        <v>1583</v>
      </c>
      <c r="E12" s="6" t="s">
        <v>1577</v>
      </c>
      <c r="F12" s="6" t="s">
        <v>1595</v>
      </c>
      <c r="G12" s="6" t="s">
        <v>1507</v>
      </c>
      <c r="H12" s="6" t="s">
        <v>1591</v>
      </c>
      <c r="I12" s="6" t="s">
        <v>33</v>
      </c>
    </row>
    <row r="13" customFormat="false" ht="15" hidden="false" customHeight="false" outlineLevel="0" collapsed="false">
      <c r="A13" s="6" t="s">
        <v>1596</v>
      </c>
      <c r="B13" s="6" t="s">
        <v>1504</v>
      </c>
      <c r="C13" s="6" t="s">
        <v>1597</v>
      </c>
      <c r="D13" s="6" t="s">
        <v>64</v>
      </c>
      <c r="E13" s="6" t="s">
        <v>1598</v>
      </c>
      <c r="F13" s="6" t="s">
        <v>1599</v>
      </c>
      <c r="G13" s="6" t="s">
        <v>1507</v>
      </c>
      <c r="H13" s="6" t="s">
        <v>1600</v>
      </c>
      <c r="I13" s="6" t="s">
        <v>33</v>
      </c>
    </row>
    <row r="14" customFormat="false" ht="15" hidden="false" customHeight="false" outlineLevel="0" collapsed="false">
      <c r="A14" s="6" t="s">
        <v>1601</v>
      </c>
      <c r="B14" s="6" t="s">
        <v>1602</v>
      </c>
      <c r="C14" s="6" t="s">
        <v>1603</v>
      </c>
      <c r="D14" s="6" t="s">
        <v>64</v>
      </c>
      <c r="E14" s="6" t="s">
        <v>1604</v>
      </c>
      <c r="F14" s="6" t="s">
        <v>1605</v>
      </c>
      <c r="G14" s="6" t="s">
        <v>154</v>
      </c>
      <c r="H14" s="6" t="s">
        <v>1606</v>
      </c>
      <c r="I14" s="6" t="s">
        <v>33</v>
      </c>
    </row>
    <row r="15" customFormat="false" ht="15" hidden="false" customHeight="false" outlineLevel="0" collapsed="false">
      <c r="A15" s="6" t="s">
        <v>1607</v>
      </c>
      <c r="B15" s="6" t="s">
        <v>1608</v>
      </c>
      <c r="C15" s="6" t="s">
        <v>1609</v>
      </c>
      <c r="D15" s="6" t="s">
        <v>64</v>
      </c>
      <c r="E15" s="6" t="s">
        <v>1610</v>
      </c>
      <c r="F15" s="6" t="s">
        <v>1611</v>
      </c>
      <c r="G15" s="6" t="s">
        <v>154</v>
      </c>
      <c r="H15" s="6" t="s">
        <v>1612</v>
      </c>
      <c r="I15" s="6" t="s">
        <v>33</v>
      </c>
    </row>
    <row r="16" customFormat="false" ht="35.05" hidden="false" customHeight="false" outlineLevel="0" collapsed="false">
      <c r="A16" s="6" t="s">
        <v>1613</v>
      </c>
      <c r="B16" s="6" t="s">
        <v>1614</v>
      </c>
      <c r="C16" s="6" t="s">
        <v>1615</v>
      </c>
      <c r="D16" s="6"/>
      <c r="E16" s="6"/>
      <c r="F16" s="6"/>
      <c r="G16" s="6" t="s">
        <v>1507</v>
      </c>
      <c r="H16" s="6" t="s">
        <v>1616</v>
      </c>
      <c r="I16" s="6" t="s">
        <v>32</v>
      </c>
    </row>
    <row r="17" customFormat="false" ht="23.85" hidden="false" customHeight="false" outlineLevel="0" collapsed="false">
      <c r="A17" s="6" t="s">
        <v>1617</v>
      </c>
      <c r="B17" s="6" t="s">
        <v>1618</v>
      </c>
      <c r="C17" s="6" t="s">
        <v>1619</v>
      </c>
      <c r="D17" s="6"/>
      <c r="E17" s="6"/>
      <c r="F17" s="6"/>
      <c r="G17" s="6" t="s">
        <v>1620</v>
      </c>
      <c r="H17" s="6" t="s">
        <v>1621</v>
      </c>
      <c r="I17" s="6" t="s">
        <v>32</v>
      </c>
    </row>
    <row r="18" customFormat="false" ht="15" hidden="false" customHeight="false" outlineLevel="0" collapsed="false">
      <c r="A18" s="6"/>
      <c r="B18" s="6"/>
      <c r="C18" s="6"/>
      <c r="D18" s="6"/>
      <c r="E18" s="6"/>
      <c r="F18" s="6"/>
      <c r="G18" s="6"/>
      <c r="H18" s="6"/>
      <c r="I18" s="6"/>
    </row>
    <row r="19" customFormat="false" ht="15" hidden="false" customHeight="false" outlineLevel="0" collapsed="false">
      <c r="A19" s="6"/>
      <c r="B19" s="6"/>
      <c r="C19" s="6"/>
      <c r="D19" s="6"/>
      <c r="E19" s="6"/>
      <c r="F19" s="6"/>
      <c r="G19" s="6"/>
      <c r="H19" s="6"/>
      <c r="I19" s="6"/>
    </row>
    <row r="21" customFormat="false" ht="15" hidden="false" customHeight="false" outlineLevel="0" collapsed="false">
      <c r="A21" s="53" t="s">
        <v>1622</v>
      </c>
      <c r="B21" s="53"/>
      <c r="C21" s="53"/>
      <c r="D21" s="53"/>
      <c r="E21" s="53"/>
      <c r="F21" s="53"/>
      <c r="G21" s="53"/>
      <c r="H21" s="53"/>
      <c r="I21" s="53"/>
    </row>
    <row r="22" customFormat="false" ht="15" hidden="false" customHeight="false" outlineLevel="0" collapsed="false">
      <c r="A22" s="54" t="s">
        <v>89</v>
      </c>
      <c r="B22" s="54" t="s">
        <v>452</v>
      </c>
      <c r="C22" s="54" t="s">
        <v>453</v>
      </c>
      <c r="D22" s="54" t="s">
        <v>454</v>
      </c>
      <c r="E22" s="54" t="s">
        <v>455</v>
      </c>
      <c r="F22" s="54" t="s">
        <v>81</v>
      </c>
      <c r="G22" s="54" t="s">
        <v>79</v>
      </c>
      <c r="H22" s="54" t="s">
        <v>77</v>
      </c>
      <c r="I22" s="54" t="s">
        <v>75</v>
      </c>
    </row>
    <row r="23" customFormat="false" ht="15" hidden="false" customHeight="false" outlineLevel="0" collapsed="false">
      <c r="A23" s="6" t="s">
        <v>1623</v>
      </c>
      <c r="B23" s="6" t="s">
        <v>1510</v>
      </c>
      <c r="C23" s="6" t="s">
        <v>1624</v>
      </c>
      <c r="D23" s="6"/>
      <c r="E23" s="6"/>
      <c r="F23" s="6"/>
      <c r="G23" s="6" t="s">
        <v>705</v>
      </c>
      <c r="H23" s="6" t="s">
        <v>706</v>
      </c>
      <c r="I23" s="6" t="s">
        <v>32</v>
      </c>
    </row>
    <row r="24" customFormat="false" ht="15" hidden="false" customHeight="false" outlineLevel="0" collapsed="false">
      <c r="A24" s="6" t="s">
        <v>1625</v>
      </c>
      <c r="B24" s="6" t="s">
        <v>1626</v>
      </c>
      <c r="C24" s="6" t="s">
        <v>1627</v>
      </c>
      <c r="D24" s="6"/>
      <c r="E24" s="6"/>
      <c r="F24" s="6" t="s">
        <v>1628</v>
      </c>
      <c r="G24" s="6" t="s">
        <v>154</v>
      </c>
      <c r="H24" s="6" t="s">
        <v>104</v>
      </c>
      <c r="I24" s="6" t="s">
        <v>33</v>
      </c>
    </row>
    <row r="25" customFormat="false" ht="35.05" hidden="false" customHeight="false" outlineLevel="0" collapsed="false">
      <c r="A25" s="6" t="s">
        <v>1629</v>
      </c>
      <c r="B25" s="6" t="s">
        <v>1630</v>
      </c>
      <c r="C25" s="6" t="s">
        <v>1631</v>
      </c>
      <c r="D25" s="6"/>
      <c r="E25" s="6"/>
      <c r="F25" s="6" t="s">
        <v>1632</v>
      </c>
      <c r="G25" s="6" t="s">
        <v>1541</v>
      </c>
      <c r="H25" s="6" t="s">
        <v>1633</v>
      </c>
      <c r="I25" s="6" t="s">
        <v>33</v>
      </c>
    </row>
    <row r="26" customFormat="false" ht="23.85" hidden="false" customHeight="false" outlineLevel="0" collapsed="false">
      <c r="A26" s="6" t="s">
        <v>1634</v>
      </c>
      <c r="B26" s="6" t="s">
        <v>1635</v>
      </c>
      <c r="C26" s="6" t="s">
        <v>1636</v>
      </c>
      <c r="D26" s="6"/>
      <c r="E26" s="6"/>
      <c r="F26" s="6"/>
      <c r="G26" s="6" t="s">
        <v>1620</v>
      </c>
      <c r="H26" s="6" t="s">
        <v>1621</v>
      </c>
      <c r="I26" s="6" t="s">
        <v>32</v>
      </c>
    </row>
    <row r="27" customFormat="false" ht="35.05" hidden="false" customHeight="false" outlineLevel="0" collapsed="false">
      <c r="A27" s="6" t="s">
        <v>1637</v>
      </c>
      <c r="B27" s="6" t="s">
        <v>1638</v>
      </c>
      <c r="C27" s="6" t="s">
        <v>1639</v>
      </c>
      <c r="D27" s="6"/>
      <c r="E27" s="6"/>
      <c r="F27" s="6"/>
      <c r="G27" s="6" t="s">
        <v>154</v>
      </c>
      <c r="H27" s="6" t="s">
        <v>1640</v>
      </c>
      <c r="I27" s="6" t="s">
        <v>32</v>
      </c>
    </row>
    <row r="28" customFormat="false" ht="15" hidden="false" customHeight="false" outlineLevel="0" collapsed="false">
      <c r="A28" s="6"/>
      <c r="B28" s="6"/>
      <c r="C28" s="6"/>
      <c r="D28" s="6"/>
      <c r="E28" s="6"/>
      <c r="F28" s="6"/>
      <c r="G28" s="6"/>
      <c r="H28" s="6"/>
      <c r="I28" s="6"/>
    </row>
    <row r="30" customFormat="false" ht="15" hidden="false" customHeight="false" outlineLevel="0" collapsed="false">
      <c r="A30" s="53" t="s">
        <v>1641</v>
      </c>
      <c r="B30" s="53"/>
      <c r="C30" s="53"/>
      <c r="D30" s="53"/>
      <c r="E30" s="53"/>
      <c r="F30" s="53"/>
      <c r="G30" s="53"/>
      <c r="H30" s="53"/>
      <c r="I30" s="53"/>
    </row>
    <row r="31" customFormat="false" ht="15" hidden="false" customHeight="true" outlineLevel="0" collapsed="false">
      <c r="A31" s="8" t="s">
        <v>1642</v>
      </c>
      <c r="B31" s="8"/>
      <c r="C31" s="8"/>
      <c r="D31" s="8"/>
      <c r="E31" s="8"/>
      <c r="F31" s="8"/>
      <c r="G31" s="8"/>
      <c r="H31" s="8"/>
      <c r="I31" s="8"/>
    </row>
    <row r="32" customFormat="false" ht="15" hidden="false" customHeight="false" outlineLevel="0" collapsed="false">
      <c r="A32" s="54" t="s">
        <v>89</v>
      </c>
      <c r="B32" s="54" t="s">
        <v>1643</v>
      </c>
      <c r="C32" s="54" t="s">
        <v>1644</v>
      </c>
      <c r="D32" s="54" t="s">
        <v>1645</v>
      </c>
      <c r="E32" s="54" t="s">
        <v>240</v>
      </c>
      <c r="F32" s="54" t="s">
        <v>81</v>
      </c>
      <c r="G32" s="54" t="s">
        <v>79</v>
      </c>
      <c r="H32" s="54" t="s">
        <v>77</v>
      </c>
      <c r="I32" s="54" t="s">
        <v>75</v>
      </c>
    </row>
    <row r="33" customFormat="false" ht="23.85" hidden="false" customHeight="false" outlineLevel="0" collapsed="false">
      <c r="A33" s="6" t="s">
        <v>1646</v>
      </c>
      <c r="B33" s="6" t="s">
        <v>1647</v>
      </c>
      <c r="C33" s="6" t="s">
        <v>1648</v>
      </c>
      <c r="D33" s="6" t="s">
        <v>1649</v>
      </c>
      <c r="E33" s="6"/>
      <c r="F33" s="6"/>
      <c r="G33" s="6" t="s">
        <v>1353</v>
      </c>
      <c r="H33" s="6" t="s">
        <v>1650</v>
      </c>
      <c r="I33" s="6" t="s">
        <v>32</v>
      </c>
    </row>
    <row r="34" customFormat="false" ht="35.05" hidden="false" customHeight="false" outlineLevel="0" collapsed="false">
      <c r="A34" s="6" t="s">
        <v>1651</v>
      </c>
      <c r="B34" s="6" t="s">
        <v>1652</v>
      </c>
      <c r="C34" s="6" t="s">
        <v>1653</v>
      </c>
      <c r="D34" s="6" t="s">
        <v>64</v>
      </c>
      <c r="E34" s="6"/>
      <c r="F34" s="6" t="s">
        <v>1654</v>
      </c>
      <c r="G34" s="6" t="s">
        <v>1353</v>
      </c>
      <c r="H34" s="6" t="s">
        <v>104</v>
      </c>
      <c r="I34" s="6" t="s">
        <v>33</v>
      </c>
    </row>
    <row r="35" customFormat="false" ht="57.45" hidden="false" customHeight="false" outlineLevel="0" collapsed="false">
      <c r="A35" s="6" t="s">
        <v>1655</v>
      </c>
      <c r="B35" s="6" t="s">
        <v>1656</v>
      </c>
      <c r="C35" s="6" t="s">
        <v>1657</v>
      </c>
      <c r="D35" s="6" t="s">
        <v>1658</v>
      </c>
      <c r="E35" s="6" t="s">
        <v>1659</v>
      </c>
      <c r="F35" s="6" t="s">
        <v>1660</v>
      </c>
      <c r="G35" s="6" t="s">
        <v>1353</v>
      </c>
      <c r="H35" s="6" t="s">
        <v>104</v>
      </c>
      <c r="I35" s="6" t="s">
        <v>33</v>
      </c>
    </row>
    <row r="36" customFormat="false" ht="68.65" hidden="false" customHeight="false" outlineLevel="0" collapsed="false">
      <c r="A36" s="6" t="s">
        <v>1661</v>
      </c>
      <c r="B36" s="6" t="s">
        <v>1662</v>
      </c>
      <c r="C36" s="6" t="s">
        <v>64</v>
      </c>
      <c r="D36" s="6" t="s">
        <v>1663</v>
      </c>
      <c r="E36" s="6" t="s">
        <v>1664</v>
      </c>
      <c r="F36" s="6" t="s">
        <v>1665</v>
      </c>
      <c r="G36" s="6" t="s">
        <v>1353</v>
      </c>
      <c r="H36" s="6" t="s">
        <v>104</v>
      </c>
      <c r="I36" s="6" t="s">
        <v>33</v>
      </c>
    </row>
    <row r="37" customFormat="false" ht="91" hidden="false" customHeight="false" outlineLevel="0" collapsed="false">
      <c r="A37" s="6" t="s">
        <v>1666</v>
      </c>
      <c r="B37" s="6" t="s">
        <v>1667</v>
      </c>
      <c r="C37" s="6" t="s">
        <v>64</v>
      </c>
      <c r="D37" s="6" t="s">
        <v>1668</v>
      </c>
      <c r="E37" s="6"/>
      <c r="F37" s="6" t="s">
        <v>1669</v>
      </c>
      <c r="G37" s="6" t="s">
        <v>1353</v>
      </c>
      <c r="H37" s="6" t="s">
        <v>1354</v>
      </c>
      <c r="I37" s="6" t="s">
        <v>33</v>
      </c>
    </row>
    <row r="38" customFormat="false" ht="68.65" hidden="false" customHeight="false" outlineLevel="0" collapsed="false">
      <c r="A38" s="6" t="s">
        <v>1670</v>
      </c>
      <c r="B38" s="6" t="s">
        <v>1671</v>
      </c>
      <c r="C38" s="6" t="s">
        <v>64</v>
      </c>
      <c r="D38" s="6" t="s">
        <v>1672</v>
      </c>
      <c r="E38" s="6"/>
      <c r="F38" s="6" t="s">
        <v>1673</v>
      </c>
      <c r="G38" s="6" t="s">
        <v>1353</v>
      </c>
      <c r="H38" s="6" t="s">
        <v>104</v>
      </c>
      <c r="I38" s="6" t="s">
        <v>33</v>
      </c>
    </row>
    <row r="39" customFormat="false" ht="23.85" hidden="false" customHeight="false" outlineLevel="0" collapsed="false">
      <c r="A39" s="6" t="s">
        <v>1674</v>
      </c>
      <c r="B39" s="6" t="s">
        <v>1413</v>
      </c>
      <c r="C39" s="6" t="s">
        <v>1675</v>
      </c>
      <c r="D39" s="6"/>
      <c r="E39" s="6"/>
      <c r="F39" s="6"/>
      <c r="G39" s="6" t="s">
        <v>311</v>
      </c>
      <c r="H39" s="6" t="s">
        <v>722</v>
      </c>
      <c r="I39" s="6" t="s">
        <v>32</v>
      </c>
    </row>
    <row r="40" customFormat="false" ht="15" hidden="false" customHeight="false" outlineLevel="0" collapsed="false">
      <c r="A40" s="6"/>
      <c r="B40" s="6"/>
      <c r="C40" s="6"/>
      <c r="D40" s="6"/>
      <c r="E40" s="6"/>
      <c r="F40" s="6"/>
      <c r="G40" s="6"/>
      <c r="H40" s="6"/>
      <c r="I40" s="6"/>
    </row>
  </sheetData>
  <autoFilter ref="A7:I19"/>
  <mergeCells count="5">
    <mergeCell ref="A5:I5"/>
    <mergeCell ref="A6:I6"/>
    <mergeCell ref="A21:I21"/>
    <mergeCell ref="A30:I30"/>
    <mergeCell ref="A31:I31"/>
  </mergeCells>
  <conditionalFormatting sqref="I8:I19">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I23:I28">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I33:I40">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I8:I19 I23:I28 I33:I40"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546A"/>
    <pageSetUpPr fitToPage="true"/>
  </sheetPr>
  <dimension ref="A1:K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32"/>
    <col collapsed="false" customWidth="true" hidden="false" outlineLevel="0" max="4" min="4" style="0" width="10"/>
    <col collapsed="false" customWidth="true" hidden="false" outlineLevel="0" max="5" min="5" style="0" width="14"/>
    <col collapsed="false" customWidth="true" hidden="false" outlineLevel="0" max="6" min="6" style="0" width="16"/>
    <col collapsed="false" customWidth="true" hidden="false" outlineLevel="0" max="7" min="7" style="0" width="44"/>
    <col collapsed="false" customWidth="true" hidden="false" outlineLevel="0" max="8" min="8" style="0" width="16"/>
    <col collapsed="false" customWidth="true" hidden="false" outlineLevel="0" max="9" min="9" style="0" width="10"/>
    <col collapsed="false" customWidth="true" hidden="false" outlineLevel="0" max="10" min="10" style="0" width="14"/>
    <col collapsed="false" customWidth="true" hidden="false" outlineLevel="0" max="11" min="11" style="0" width="13"/>
  </cols>
  <sheetData>
    <row r="1" customFormat="false" ht="17.35" hidden="false" customHeight="false" outlineLevel="0" collapsed="false">
      <c r="A1" s="1" t="s">
        <v>1676</v>
      </c>
    </row>
    <row r="2" customFormat="false" ht="15" hidden="false" customHeight="false" outlineLevel="0" collapsed="false">
      <c r="A2" s="2" t="s">
        <v>1677</v>
      </c>
    </row>
    <row r="3" customFormat="false" ht="15" hidden="false" customHeight="false" outlineLevel="0" collapsed="false">
      <c r="A3" s="3" t="str">
        <f aca="false">HYPERLINK("#'0 Index'!A1","↩ Index")</f>
        <v>↩ Index</v>
      </c>
    </row>
    <row r="5" customFormat="false" ht="15" hidden="false" customHeight="false" outlineLevel="0" collapsed="false">
      <c r="A5" s="55" t="s">
        <v>1678</v>
      </c>
      <c r="B5" s="55"/>
      <c r="C5" s="55"/>
      <c r="D5" s="55"/>
      <c r="E5" s="55"/>
      <c r="F5" s="55"/>
      <c r="G5" s="55"/>
      <c r="H5" s="55"/>
      <c r="I5" s="55"/>
      <c r="J5" s="55"/>
      <c r="K5" s="55"/>
    </row>
    <row r="6" customFormat="false" ht="15" hidden="false" customHeight="true" outlineLevel="0" collapsed="false">
      <c r="A6" s="8" t="s">
        <v>1679</v>
      </c>
      <c r="B6" s="8"/>
      <c r="C6" s="8"/>
      <c r="D6" s="8"/>
      <c r="E6" s="8"/>
      <c r="F6" s="8"/>
      <c r="G6" s="8"/>
      <c r="H6" s="8"/>
      <c r="I6" s="8"/>
      <c r="J6" s="8"/>
      <c r="K6" s="8"/>
    </row>
    <row r="7" customFormat="false" ht="15" hidden="false" customHeight="false" outlineLevel="0" collapsed="false">
      <c r="A7" s="56" t="s">
        <v>89</v>
      </c>
      <c r="B7" s="56" t="s">
        <v>1680</v>
      </c>
      <c r="C7" s="56" t="s">
        <v>1681</v>
      </c>
      <c r="D7" s="56" t="s">
        <v>860</v>
      </c>
      <c r="E7" s="56" t="s">
        <v>1682</v>
      </c>
      <c r="F7" s="56" t="s">
        <v>1683</v>
      </c>
      <c r="G7" s="56" t="s">
        <v>1684</v>
      </c>
      <c r="H7" s="56" t="s">
        <v>1685</v>
      </c>
      <c r="I7" s="56" t="s">
        <v>79</v>
      </c>
      <c r="J7" s="56" t="s">
        <v>77</v>
      </c>
      <c r="K7" s="56" t="s">
        <v>75</v>
      </c>
    </row>
    <row r="8" customFormat="false" ht="15" hidden="false" customHeight="false" outlineLevel="0" collapsed="false">
      <c r="A8" s="6" t="s">
        <v>1686</v>
      </c>
      <c r="B8" s="6" t="s">
        <v>1687</v>
      </c>
      <c r="C8" s="6" t="s">
        <v>1688</v>
      </c>
      <c r="D8" s="6" t="s">
        <v>1134</v>
      </c>
      <c r="E8" s="6" t="n">
        <v>8</v>
      </c>
      <c r="F8" s="6"/>
      <c r="G8" s="6" t="s">
        <v>1689</v>
      </c>
      <c r="H8" s="6" t="s">
        <v>1568</v>
      </c>
      <c r="I8" s="6" t="s">
        <v>154</v>
      </c>
      <c r="J8" s="6" t="s">
        <v>104</v>
      </c>
      <c r="K8" s="6" t="s">
        <v>33</v>
      </c>
    </row>
    <row r="9" customFormat="false" ht="15" hidden="false" customHeight="false" outlineLevel="0" collapsed="false">
      <c r="A9" s="6" t="s">
        <v>1690</v>
      </c>
      <c r="B9" s="6" t="s">
        <v>1687</v>
      </c>
      <c r="C9" s="6" t="s">
        <v>1691</v>
      </c>
      <c r="D9" s="6" t="s">
        <v>1134</v>
      </c>
      <c r="E9" s="6" t="n">
        <v>8</v>
      </c>
      <c r="F9" s="6"/>
      <c r="G9" s="6" t="s">
        <v>1692</v>
      </c>
      <c r="H9" s="6" t="s">
        <v>1574</v>
      </c>
      <c r="I9" s="6" t="s">
        <v>140</v>
      </c>
      <c r="J9" s="6" t="s">
        <v>104</v>
      </c>
      <c r="K9" s="6" t="s">
        <v>33</v>
      </c>
    </row>
    <row r="10" customFormat="false" ht="15" hidden="false" customHeight="false" outlineLevel="0" collapsed="false">
      <c r="A10" s="6" t="s">
        <v>1693</v>
      </c>
      <c r="B10" s="6" t="s">
        <v>1687</v>
      </c>
      <c r="C10" s="6" t="s">
        <v>1694</v>
      </c>
      <c r="D10" s="6" t="s">
        <v>1134</v>
      </c>
      <c r="E10" s="6" t="n">
        <v>10</v>
      </c>
      <c r="F10" s="6" t="s">
        <v>1695</v>
      </c>
      <c r="G10" s="6" t="s">
        <v>1696</v>
      </c>
      <c r="H10" s="6" t="s">
        <v>1625</v>
      </c>
      <c r="I10" s="6" t="s">
        <v>154</v>
      </c>
      <c r="J10" s="6" t="s">
        <v>104</v>
      </c>
      <c r="K10" s="6" t="s">
        <v>33</v>
      </c>
    </row>
    <row r="11" customFormat="false" ht="15" hidden="false" customHeight="false" outlineLevel="0" collapsed="false">
      <c r="A11" s="6" t="s">
        <v>1697</v>
      </c>
      <c r="B11" s="6" t="s">
        <v>1698</v>
      </c>
      <c r="C11" s="6" t="s">
        <v>1699</v>
      </c>
      <c r="D11" s="6" t="s">
        <v>1134</v>
      </c>
      <c r="E11" s="6" t="n">
        <v>10</v>
      </c>
      <c r="F11" s="6"/>
      <c r="G11" s="6" t="s">
        <v>1700</v>
      </c>
      <c r="H11" s="6" t="s">
        <v>1580</v>
      </c>
      <c r="I11" s="6" t="s">
        <v>1541</v>
      </c>
      <c r="J11" s="6" t="s">
        <v>104</v>
      </c>
      <c r="K11" s="6" t="s">
        <v>33</v>
      </c>
    </row>
    <row r="12" customFormat="false" ht="23.85" hidden="false" customHeight="false" outlineLevel="0" collapsed="false">
      <c r="A12" s="6" t="s">
        <v>1701</v>
      </c>
      <c r="B12" s="6" t="s">
        <v>1698</v>
      </c>
      <c r="C12" s="6" t="s">
        <v>1702</v>
      </c>
      <c r="D12" s="6" t="s">
        <v>1134</v>
      </c>
      <c r="E12" s="6" t="n">
        <v>8</v>
      </c>
      <c r="F12" s="6"/>
      <c r="G12" s="6" t="s">
        <v>1703</v>
      </c>
      <c r="H12" s="6" t="s">
        <v>1587</v>
      </c>
      <c r="I12" s="6" t="s">
        <v>1541</v>
      </c>
      <c r="J12" s="6" t="s">
        <v>104</v>
      </c>
      <c r="K12" s="6" t="s">
        <v>33</v>
      </c>
    </row>
    <row r="13" customFormat="false" ht="23.85" hidden="false" customHeight="false" outlineLevel="0" collapsed="false">
      <c r="A13" s="6" t="s">
        <v>1704</v>
      </c>
      <c r="B13" s="6" t="s">
        <v>1698</v>
      </c>
      <c r="C13" s="6" t="s">
        <v>1705</v>
      </c>
      <c r="D13" s="6" t="s">
        <v>1134</v>
      </c>
      <c r="E13" s="6" t="n">
        <v>8</v>
      </c>
      <c r="F13" s="6"/>
      <c r="G13" s="6" t="s">
        <v>1706</v>
      </c>
      <c r="H13" s="6" t="s">
        <v>1592</v>
      </c>
      <c r="I13" s="6" t="s">
        <v>1507</v>
      </c>
      <c r="J13" s="6" t="s">
        <v>104</v>
      </c>
      <c r="K13" s="6" t="s">
        <v>33</v>
      </c>
    </row>
    <row r="14" customFormat="false" ht="15" hidden="false" customHeight="false" outlineLevel="0" collapsed="false">
      <c r="A14" s="6" t="s">
        <v>1707</v>
      </c>
      <c r="B14" s="6" t="s">
        <v>1698</v>
      </c>
      <c r="C14" s="6" t="s">
        <v>1708</v>
      </c>
      <c r="D14" s="6" t="s">
        <v>1134</v>
      </c>
      <c r="E14" s="6" t="n">
        <v>5</v>
      </c>
      <c r="F14" s="6"/>
      <c r="G14" s="6" t="s">
        <v>1709</v>
      </c>
      <c r="H14" s="6" t="s">
        <v>1596</v>
      </c>
      <c r="I14" s="6" t="s">
        <v>1507</v>
      </c>
      <c r="J14" s="6" t="s">
        <v>104</v>
      </c>
      <c r="K14" s="6" t="s">
        <v>33</v>
      </c>
    </row>
    <row r="15" customFormat="false" ht="15" hidden="false" customHeight="false" outlineLevel="0" collapsed="false">
      <c r="A15" s="6" t="s">
        <v>1710</v>
      </c>
      <c r="B15" s="6" t="s">
        <v>1698</v>
      </c>
      <c r="C15" s="6" t="s">
        <v>1711</v>
      </c>
      <c r="D15" s="6" t="s">
        <v>1134</v>
      </c>
      <c r="E15" s="6" t="n">
        <v>3</v>
      </c>
      <c r="F15" s="6"/>
      <c r="G15" s="6" t="s">
        <v>1712</v>
      </c>
      <c r="H15" s="6" t="s">
        <v>1601</v>
      </c>
      <c r="I15" s="6" t="s">
        <v>154</v>
      </c>
      <c r="J15" s="6" t="s">
        <v>104</v>
      </c>
      <c r="K15" s="6" t="s">
        <v>33</v>
      </c>
    </row>
    <row r="16" customFormat="false" ht="15" hidden="false" customHeight="false" outlineLevel="0" collapsed="false">
      <c r="A16" s="6" t="s">
        <v>1713</v>
      </c>
      <c r="B16" s="6" t="s">
        <v>1698</v>
      </c>
      <c r="C16" s="6" t="s">
        <v>1714</v>
      </c>
      <c r="D16" s="6" t="s">
        <v>1134</v>
      </c>
      <c r="E16" s="6" t="n">
        <v>6</v>
      </c>
      <c r="F16" s="6"/>
      <c r="G16" s="6" t="s">
        <v>1715</v>
      </c>
      <c r="H16" s="6" t="s">
        <v>1607</v>
      </c>
      <c r="I16" s="6" t="s">
        <v>154</v>
      </c>
      <c r="J16" s="6" t="s">
        <v>104</v>
      </c>
      <c r="K16" s="6" t="s">
        <v>33</v>
      </c>
    </row>
    <row r="17" customFormat="false" ht="15" hidden="false" customHeight="false" outlineLevel="0" collapsed="false">
      <c r="A17" s="6" t="s">
        <v>1716</v>
      </c>
      <c r="B17" s="6" t="s">
        <v>1698</v>
      </c>
      <c r="C17" s="6" t="s">
        <v>1694</v>
      </c>
      <c r="D17" s="6" t="s">
        <v>1134</v>
      </c>
      <c r="E17" s="6" t="n">
        <v>10</v>
      </c>
      <c r="F17" s="6" t="s">
        <v>1695</v>
      </c>
      <c r="G17" s="6" t="s">
        <v>1717</v>
      </c>
      <c r="H17" s="6" t="s">
        <v>1625</v>
      </c>
      <c r="I17" s="6" t="s">
        <v>154</v>
      </c>
      <c r="J17" s="6" t="s">
        <v>104</v>
      </c>
      <c r="K17" s="6" t="s">
        <v>33</v>
      </c>
    </row>
    <row r="18" customFormat="false" ht="15" hidden="false" customHeight="false" outlineLevel="0" collapsed="false">
      <c r="A18" s="6" t="s">
        <v>1718</v>
      </c>
      <c r="B18" s="6" t="s">
        <v>1719</v>
      </c>
      <c r="C18" s="6" t="s">
        <v>1720</v>
      </c>
      <c r="D18" s="6" t="s">
        <v>1721</v>
      </c>
      <c r="E18" s="6" t="s">
        <v>1722</v>
      </c>
      <c r="F18" s="6"/>
      <c r="G18" s="6" t="s">
        <v>1723</v>
      </c>
      <c r="H18" s="6" t="s">
        <v>1629</v>
      </c>
      <c r="I18" s="6" t="s">
        <v>1541</v>
      </c>
      <c r="J18" s="6" t="s">
        <v>104</v>
      </c>
      <c r="K18" s="6" t="s">
        <v>33</v>
      </c>
    </row>
    <row r="19" customFormat="false" ht="15" hidden="false" customHeight="false" outlineLevel="0" collapsed="false">
      <c r="A19" s="6" t="s">
        <v>1724</v>
      </c>
      <c r="B19" s="6" t="s">
        <v>1725</v>
      </c>
      <c r="C19" s="6" t="s">
        <v>924</v>
      </c>
      <c r="D19" s="6" t="s">
        <v>1721</v>
      </c>
      <c r="E19" s="6" t="n">
        <v>2700</v>
      </c>
      <c r="F19" s="6" t="s">
        <v>1726</v>
      </c>
      <c r="G19" s="6" t="s">
        <v>1727</v>
      </c>
      <c r="H19" s="6" t="s">
        <v>890</v>
      </c>
      <c r="I19" s="6" t="s">
        <v>549</v>
      </c>
      <c r="J19" s="6" t="s">
        <v>104</v>
      </c>
      <c r="K19" s="6" t="s">
        <v>33</v>
      </c>
    </row>
    <row r="20" customFormat="false" ht="15" hidden="false" customHeight="false" outlineLevel="0" collapsed="false">
      <c r="A20" s="6" t="s">
        <v>1728</v>
      </c>
      <c r="B20" s="6" t="s">
        <v>1725</v>
      </c>
      <c r="C20" s="6" t="s">
        <v>926</v>
      </c>
      <c r="D20" s="6" t="s">
        <v>1721</v>
      </c>
      <c r="E20" s="6" t="n">
        <v>5</v>
      </c>
      <c r="F20" s="6"/>
      <c r="G20" s="6" t="s">
        <v>1729</v>
      </c>
      <c r="H20" s="6" t="s">
        <v>908</v>
      </c>
      <c r="I20" s="6" t="s">
        <v>549</v>
      </c>
      <c r="J20" s="6" t="s">
        <v>104</v>
      </c>
      <c r="K20" s="6" t="s">
        <v>33</v>
      </c>
    </row>
    <row r="21" customFormat="false" ht="15" hidden="false" customHeight="false" outlineLevel="0" collapsed="false">
      <c r="A21" s="6" t="s">
        <v>1730</v>
      </c>
      <c r="B21" s="6" t="s">
        <v>1725</v>
      </c>
      <c r="C21" s="6" t="s">
        <v>928</v>
      </c>
      <c r="D21" s="6" t="s">
        <v>1721</v>
      </c>
      <c r="E21" s="6" t="n">
        <v>100</v>
      </c>
      <c r="F21" s="6"/>
      <c r="G21" s="6" t="s">
        <v>1731</v>
      </c>
      <c r="H21" s="6" t="s">
        <v>913</v>
      </c>
      <c r="I21" s="6" t="s">
        <v>549</v>
      </c>
      <c r="J21" s="6" t="s">
        <v>104</v>
      </c>
      <c r="K21" s="6" t="s">
        <v>33</v>
      </c>
    </row>
    <row r="22" customFormat="false" ht="35.05" hidden="false" customHeight="false" outlineLevel="0" collapsed="false">
      <c r="A22" s="6" t="s">
        <v>1732</v>
      </c>
      <c r="B22" s="6" t="s">
        <v>1725</v>
      </c>
      <c r="C22" s="6" t="s">
        <v>1733</v>
      </c>
      <c r="D22" s="6" t="s">
        <v>1734</v>
      </c>
      <c r="E22" s="6" t="s">
        <v>1735</v>
      </c>
      <c r="F22" s="6" t="s">
        <v>1726</v>
      </c>
      <c r="G22" s="6" t="s">
        <v>1736</v>
      </c>
      <c r="H22" s="6" t="s">
        <v>1737</v>
      </c>
      <c r="I22" s="6" t="s">
        <v>549</v>
      </c>
      <c r="J22" s="6" t="s">
        <v>104</v>
      </c>
      <c r="K22" s="6" t="s">
        <v>33</v>
      </c>
    </row>
    <row r="23" customFormat="false" ht="15" hidden="false" customHeight="false" outlineLevel="0" collapsed="false">
      <c r="A23" s="6" t="s">
        <v>1738</v>
      </c>
      <c r="B23" s="6" t="s">
        <v>1725</v>
      </c>
      <c r="C23" s="6" t="s">
        <v>1006</v>
      </c>
      <c r="D23" s="6" t="s">
        <v>1721</v>
      </c>
      <c r="E23" s="6" t="n">
        <v>20</v>
      </c>
      <c r="F23" s="6"/>
      <c r="G23" s="6" t="s">
        <v>1739</v>
      </c>
      <c r="H23" s="6" t="s">
        <v>971</v>
      </c>
      <c r="I23" s="6" t="s">
        <v>175</v>
      </c>
      <c r="J23" s="6" t="s">
        <v>104</v>
      </c>
      <c r="K23" s="6" t="s">
        <v>33</v>
      </c>
    </row>
    <row r="24" customFormat="false" ht="15" hidden="false" customHeight="false" outlineLevel="0" collapsed="false">
      <c r="A24" s="6" t="s">
        <v>1740</v>
      </c>
      <c r="B24" s="6" t="s">
        <v>1725</v>
      </c>
      <c r="C24" s="6" t="s">
        <v>1007</v>
      </c>
      <c r="D24" s="6" t="s">
        <v>1721</v>
      </c>
      <c r="E24" s="6" t="n">
        <v>8</v>
      </c>
      <c r="F24" s="6"/>
      <c r="G24" s="6" t="s">
        <v>1741</v>
      </c>
      <c r="H24" s="6" t="s">
        <v>981</v>
      </c>
      <c r="I24" s="6" t="s">
        <v>556</v>
      </c>
      <c r="J24" s="6" t="s">
        <v>104</v>
      </c>
      <c r="K24" s="6" t="s">
        <v>33</v>
      </c>
    </row>
    <row r="25" customFormat="false" ht="15" hidden="false" customHeight="false" outlineLevel="0" collapsed="false">
      <c r="A25" s="6" t="s">
        <v>1742</v>
      </c>
      <c r="B25" s="6" t="s">
        <v>1743</v>
      </c>
      <c r="C25" s="6" t="s">
        <v>1002</v>
      </c>
      <c r="D25" s="6" t="s">
        <v>1721</v>
      </c>
      <c r="E25" s="6" t="n">
        <v>1</v>
      </c>
      <c r="F25" s="6"/>
      <c r="G25" s="6" t="s">
        <v>1744</v>
      </c>
      <c r="H25" s="6" t="s">
        <v>899</v>
      </c>
      <c r="I25" s="6" t="s">
        <v>175</v>
      </c>
      <c r="J25" s="6" t="s">
        <v>104</v>
      </c>
      <c r="K25" s="6" t="s">
        <v>33</v>
      </c>
    </row>
    <row r="26" customFormat="false" ht="15" hidden="false" customHeight="false" outlineLevel="0" collapsed="false">
      <c r="A26" s="6" t="s">
        <v>1745</v>
      </c>
      <c r="B26" s="6" t="s">
        <v>1743</v>
      </c>
      <c r="C26" s="6" t="s">
        <v>1004</v>
      </c>
      <c r="D26" s="6" t="s">
        <v>1721</v>
      </c>
      <c r="E26" s="6" t="n">
        <v>1.5</v>
      </c>
      <c r="F26" s="6"/>
      <c r="G26" s="6" t="s">
        <v>1746</v>
      </c>
      <c r="H26" s="6" t="s">
        <v>899</v>
      </c>
      <c r="I26" s="6" t="s">
        <v>175</v>
      </c>
      <c r="J26" s="6" t="s">
        <v>104</v>
      </c>
      <c r="K26" s="6" t="s">
        <v>33</v>
      </c>
    </row>
    <row r="27" customFormat="false" ht="23.85" hidden="false" customHeight="false" outlineLevel="0" collapsed="false">
      <c r="A27" s="6" t="s">
        <v>1747</v>
      </c>
      <c r="B27" s="6" t="s">
        <v>1743</v>
      </c>
      <c r="C27" s="6" t="s">
        <v>1010</v>
      </c>
      <c r="D27" s="6" t="s">
        <v>1134</v>
      </c>
      <c r="E27" s="6" t="n">
        <v>7</v>
      </c>
      <c r="F27" s="6" t="s">
        <v>1748</v>
      </c>
      <c r="G27" s="6" t="s">
        <v>1749</v>
      </c>
      <c r="H27" s="6" t="s">
        <v>959</v>
      </c>
      <c r="I27" s="6" t="s">
        <v>175</v>
      </c>
      <c r="J27" s="6" t="s">
        <v>176</v>
      </c>
      <c r="K27" s="6" t="s">
        <v>32</v>
      </c>
    </row>
    <row r="28" customFormat="false" ht="15" hidden="false" customHeight="false" outlineLevel="0" collapsed="false">
      <c r="A28" s="6" t="s">
        <v>1750</v>
      </c>
      <c r="B28" s="6" t="s">
        <v>1743</v>
      </c>
      <c r="C28" s="6" t="s">
        <v>1751</v>
      </c>
      <c r="D28" s="6" t="s">
        <v>1134</v>
      </c>
      <c r="E28" s="6" t="s">
        <v>1752</v>
      </c>
      <c r="F28" s="6" t="s">
        <v>1753</v>
      </c>
      <c r="G28" s="6" t="s">
        <v>1754</v>
      </c>
      <c r="H28" s="6" t="s">
        <v>965</v>
      </c>
      <c r="I28" s="6" t="s">
        <v>969</v>
      </c>
      <c r="J28" s="6" t="s">
        <v>104</v>
      </c>
      <c r="K28" s="6" t="s">
        <v>33</v>
      </c>
    </row>
    <row r="29" customFormat="false" ht="15" hidden="false" customHeight="false" outlineLevel="0" collapsed="false">
      <c r="A29" s="6" t="s">
        <v>1755</v>
      </c>
      <c r="B29" s="6" t="s">
        <v>1756</v>
      </c>
      <c r="C29" s="6" t="s">
        <v>1757</v>
      </c>
      <c r="D29" s="6" t="s">
        <v>1721</v>
      </c>
      <c r="E29" s="6" t="n">
        <v>10</v>
      </c>
      <c r="F29" s="6"/>
      <c r="G29" s="6" t="s">
        <v>1758</v>
      </c>
      <c r="H29" s="6" t="s">
        <v>1759</v>
      </c>
      <c r="I29" s="6" t="s">
        <v>175</v>
      </c>
      <c r="J29" s="6" t="s">
        <v>176</v>
      </c>
      <c r="K29" s="6" t="s">
        <v>32</v>
      </c>
    </row>
    <row r="30" customFormat="false" ht="23.85" hidden="false" customHeight="false" outlineLevel="0" collapsed="false">
      <c r="A30" s="6" t="s">
        <v>1760</v>
      </c>
      <c r="B30" s="6" t="s">
        <v>1756</v>
      </c>
      <c r="C30" s="6" t="s">
        <v>1761</v>
      </c>
      <c r="D30" s="6" t="s">
        <v>1721</v>
      </c>
      <c r="E30" s="6" t="s">
        <v>1762</v>
      </c>
      <c r="F30" s="6"/>
      <c r="G30" s="6" t="s">
        <v>1763</v>
      </c>
      <c r="H30" s="6" t="s">
        <v>1080</v>
      </c>
      <c r="I30" s="6" t="s">
        <v>175</v>
      </c>
      <c r="J30" s="6" t="s">
        <v>104</v>
      </c>
      <c r="K30" s="6" t="s">
        <v>33</v>
      </c>
    </row>
    <row r="31" customFormat="false" ht="15" hidden="false" customHeight="false" outlineLevel="0" collapsed="false">
      <c r="A31" s="6" t="s">
        <v>1764</v>
      </c>
      <c r="B31" s="6" t="s">
        <v>1765</v>
      </c>
      <c r="C31" s="6" t="s">
        <v>1766</v>
      </c>
      <c r="D31" s="6" t="s">
        <v>1134</v>
      </c>
      <c r="E31" s="6" t="s">
        <v>1767</v>
      </c>
      <c r="F31" s="6" t="s">
        <v>1768</v>
      </c>
      <c r="G31" s="6" t="s">
        <v>1769</v>
      </c>
      <c r="H31" s="6" t="s">
        <v>1509</v>
      </c>
      <c r="I31" s="6" t="s">
        <v>116</v>
      </c>
      <c r="J31" s="6" t="s">
        <v>104</v>
      </c>
      <c r="K31" s="6" t="s">
        <v>33</v>
      </c>
    </row>
    <row r="32" customFormat="false" ht="35.05" hidden="false" customHeight="false" outlineLevel="0" collapsed="false">
      <c r="A32" s="6" t="s">
        <v>1770</v>
      </c>
      <c r="B32" s="6" t="s">
        <v>1765</v>
      </c>
      <c r="C32" s="6" t="s">
        <v>1771</v>
      </c>
      <c r="D32" s="6" t="s">
        <v>1721</v>
      </c>
      <c r="E32" s="6" t="s">
        <v>1772</v>
      </c>
      <c r="F32" s="6"/>
      <c r="G32" s="6" t="s">
        <v>1773</v>
      </c>
      <c r="H32" s="6" t="s">
        <v>1515</v>
      </c>
      <c r="I32" s="6" t="s">
        <v>116</v>
      </c>
      <c r="J32" s="6" t="s">
        <v>104</v>
      </c>
      <c r="K32" s="6" t="s">
        <v>33</v>
      </c>
    </row>
    <row r="33" customFormat="false" ht="15" hidden="false" customHeight="false" outlineLevel="0" collapsed="false">
      <c r="A33" s="6" t="s">
        <v>1774</v>
      </c>
      <c r="B33" s="6" t="s">
        <v>1765</v>
      </c>
      <c r="C33" s="6" t="s">
        <v>1775</v>
      </c>
      <c r="D33" s="6" t="s">
        <v>1721</v>
      </c>
      <c r="E33" s="6" t="n">
        <v>5</v>
      </c>
      <c r="F33" s="6"/>
      <c r="G33" s="6" t="s">
        <v>1776</v>
      </c>
      <c r="H33" s="6" t="s">
        <v>1520</v>
      </c>
      <c r="I33" s="6" t="s">
        <v>116</v>
      </c>
      <c r="J33" s="6" t="s">
        <v>104</v>
      </c>
      <c r="K33" s="6" t="s">
        <v>33</v>
      </c>
    </row>
    <row r="34" customFormat="false" ht="15" hidden="false" customHeight="false" outlineLevel="0" collapsed="false">
      <c r="A34" s="6" t="s">
        <v>1777</v>
      </c>
      <c r="B34" s="6" t="s">
        <v>1765</v>
      </c>
      <c r="C34" s="6" t="s">
        <v>1778</v>
      </c>
      <c r="D34" s="6" t="s">
        <v>1134</v>
      </c>
      <c r="E34" s="6" t="n">
        <v>5</v>
      </c>
      <c r="F34" s="6" t="s">
        <v>1779</v>
      </c>
      <c r="G34" s="6" t="s">
        <v>1780</v>
      </c>
      <c r="H34" s="6" t="s">
        <v>1524</v>
      </c>
      <c r="I34" s="6" t="s">
        <v>969</v>
      </c>
      <c r="J34" s="6" t="s">
        <v>104</v>
      </c>
      <c r="K34" s="6" t="s">
        <v>33</v>
      </c>
    </row>
    <row r="35" customFormat="false" ht="15" hidden="false" customHeight="false" outlineLevel="0" collapsed="false">
      <c r="A35" s="6" t="s">
        <v>1781</v>
      </c>
      <c r="B35" s="6" t="s">
        <v>1765</v>
      </c>
      <c r="C35" s="6" t="s">
        <v>1782</v>
      </c>
      <c r="D35" s="6" t="s">
        <v>1134</v>
      </c>
      <c r="E35" s="6" t="n">
        <v>50</v>
      </c>
      <c r="F35" s="6" t="s">
        <v>1783</v>
      </c>
      <c r="G35" s="6" t="s">
        <v>1784</v>
      </c>
      <c r="H35" s="6" t="s">
        <v>1486</v>
      </c>
      <c r="I35" s="6" t="s">
        <v>116</v>
      </c>
      <c r="J35" s="6" t="s">
        <v>104</v>
      </c>
      <c r="K35" s="6" t="s">
        <v>33</v>
      </c>
    </row>
    <row r="36" customFormat="false" ht="15" hidden="false" customHeight="false" outlineLevel="0" collapsed="false">
      <c r="A36" s="6" t="s">
        <v>1785</v>
      </c>
      <c r="B36" s="6" t="s">
        <v>1786</v>
      </c>
      <c r="C36" s="6" t="s">
        <v>1787</v>
      </c>
      <c r="D36" s="6" t="s">
        <v>1721</v>
      </c>
      <c r="E36" s="6" t="s">
        <v>1788</v>
      </c>
      <c r="F36" s="6"/>
      <c r="G36" s="6" t="s">
        <v>1789</v>
      </c>
      <c r="H36" s="6" t="s">
        <v>1790</v>
      </c>
      <c r="I36" s="6" t="s">
        <v>1353</v>
      </c>
      <c r="J36" s="6" t="s">
        <v>104</v>
      </c>
      <c r="K36" s="6" t="s">
        <v>33</v>
      </c>
    </row>
    <row r="37" customFormat="false" ht="15" hidden="false" customHeight="false" outlineLevel="0" collapsed="false">
      <c r="A37" s="6" t="s">
        <v>1791</v>
      </c>
      <c r="B37" s="6" t="s">
        <v>1786</v>
      </c>
      <c r="C37" s="6" t="s">
        <v>1792</v>
      </c>
      <c r="D37" s="6" t="s">
        <v>1134</v>
      </c>
      <c r="E37" s="6" t="s">
        <v>1793</v>
      </c>
      <c r="F37" s="6" t="s">
        <v>1783</v>
      </c>
      <c r="G37" s="6" t="s">
        <v>1794</v>
      </c>
      <c r="H37" s="6" t="s">
        <v>1546</v>
      </c>
      <c r="I37" s="6" t="s">
        <v>1353</v>
      </c>
      <c r="J37" s="6" t="s">
        <v>104</v>
      </c>
      <c r="K37" s="6" t="s">
        <v>33</v>
      </c>
    </row>
    <row r="38" customFormat="false" ht="15" hidden="false" customHeight="false" outlineLevel="0" collapsed="false">
      <c r="A38" s="6" t="s">
        <v>1795</v>
      </c>
      <c r="B38" s="6" t="s">
        <v>1786</v>
      </c>
      <c r="C38" s="6" t="s">
        <v>1796</v>
      </c>
      <c r="D38" s="6" t="s">
        <v>1134</v>
      </c>
      <c r="E38" s="6" t="n">
        <v>20</v>
      </c>
      <c r="F38" s="6"/>
      <c r="G38" s="6" t="s">
        <v>1797</v>
      </c>
      <c r="H38" s="6" t="s">
        <v>1670</v>
      </c>
      <c r="I38" s="6" t="s">
        <v>1353</v>
      </c>
      <c r="J38" s="6" t="s">
        <v>104</v>
      </c>
      <c r="K38" s="6" t="s">
        <v>33</v>
      </c>
    </row>
    <row r="39" customFormat="false" ht="15" hidden="false" customHeight="false" outlineLevel="0" collapsed="false">
      <c r="A39" s="6" t="s">
        <v>1798</v>
      </c>
      <c r="B39" s="6" t="s">
        <v>1799</v>
      </c>
      <c r="C39" s="6" t="s">
        <v>1800</v>
      </c>
      <c r="D39" s="6" t="s">
        <v>1134</v>
      </c>
      <c r="E39" s="6" t="n">
        <v>20</v>
      </c>
      <c r="F39" s="6"/>
      <c r="G39" s="6" t="s">
        <v>1136</v>
      </c>
      <c r="H39" s="6" t="s">
        <v>1375</v>
      </c>
      <c r="I39" s="6" t="s">
        <v>406</v>
      </c>
      <c r="J39" s="6" t="s">
        <v>682</v>
      </c>
      <c r="K39" s="6" t="s">
        <v>32</v>
      </c>
    </row>
    <row r="40" customFormat="false" ht="23.85" hidden="false" customHeight="false" outlineLevel="0" collapsed="false">
      <c r="A40" s="6" t="s">
        <v>1801</v>
      </c>
      <c r="B40" s="6" t="s">
        <v>1802</v>
      </c>
      <c r="C40" s="6" t="s">
        <v>1803</v>
      </c>
      <c r="D40" s="6" t="s">
        <v>1734</v>
      </c>
      <c r="E40" s="6" t="s">
        <v>1804</v>
      </c>
      <c r="F40" s="6" t="s">
        <v>1805</v>
      </c>
      <c r="G40" s="6" t="s">
        <v>1806</v>
      </c>
      <c r="H40" s="6" t="s">
        <v>1421</v>
      </c>
      <c r="I40" s="6" t="s">
        <v>406</v>
      </c>
      <c r="J40" s="6" t="s">
        <v>1426</v>
      </c>
      <c r="K40" s="6" t="s">
        <v>32</v>
      </c>
    </row>
    <row r="41" customFormat="false" ht="35.05" hidden="false" customHeight="false" outlineLevel="0" collapsed="false">
      <c r="A41" s="6" t="s">
        <v>1807</v>
      </c>
      <c r="B41" s="6" t="s">
        <v>1802</v>
      </c>
      <c r="C41" s="6" t="s">
        <v>1031</v>
      </c>
      <c r="D41" s="6" t="s">
        <v>1734</v>
      </c>
      <c r="E41" s="6" t="s">
        <v>1808</v>
      </c>
      <c r="F41" s="6" t="s">
        <v>1809</v>
      </c>
      <c r="G41" s="6" t="s">
        <v>1810</v>
      </c>
      <c r="H41" s="6" t="s">
        <v>1427</v>
      </c>
      <c r="I41" s="6" t="s">
        <v>406</v>
      </c>
      <c r="J41" s="6" t="s">
        <v>1426</v>
      </c>
      <c r="K41" s="6" t="s">
        <v>32</v>
      </c>
    </row>
    <row r="42" customFormat="false" ht="35.05" hidden="false" customHeight="false" outlineLevel="0" collapsed="false">
      <c r="A42" s="6" t="s">
        <v>1811</v>
      </c>
      <c r="B42" s="6" t="s">
        <v>1802</v>
      </c>
      <c r="C42" s="6" t="s">
        <v>388</v>
      </c>
      <c r="D42" s="6" t="s">
        <v>1734</v>
      </c>
      <c r="E42" s="6" t="s">
        <v>1812</v>
      </c>
      <c r="F42" s="6" t="s">
        <v>1435</v>
      </c>
      <c r="G42" s="6" t="s">
        <v>1813</v>
      </c>
      <c r="H42" s="6" t="s">
        <v>1432</v>
      </c>
      <c r="I42" s="6" t="s">
        <v>406</v>
      </c>
      <c r="J42" s="6" t="s">
        <v>1426</v>
      </c>
      <c r="K42" s="6" t="s">
        <v>32</v>
      </c>
    </row>
    <row r="43" customFormat="false" ht="23.85" hidden="false" customHeight="false" outlineLevel="0" collapsed="false">
      <c r="A43" s="6" t="s">
        <v>1814</v>
      </c>
      <c r="B43" s="6" t="s">
        <v>1802</v>
      </c>
      <c r="C43" s="6" t="s">
        <v>1815</v>
      </c>
      <c r="D43" s="6" t="s">
        <v>1734</v>
      </c>
      <c r="E43" s="6" t="s">
        <v>1816</v>
      </c>
      <c r="F43" s="6" t="s">
        <v>1809</v>
      </c>
      <c r="G43" s="6" t="s">
        <v>1817</v>
      </c>
      <c r="H43" s="6" t="s">
        <v>1437</v>
      </c>
      <c r="I43" s="6" t="s">
        <v>406</v>
      </c>
      <c r="J43" s="6" t="s">
        <v>1426</v>
      </c>
      <c r="K43" s="6" t="s">
        <v>32</v>
      </c>
    </row>
    <row r="44" customFormat="false" ht="23.85" hidden="false" customHeight="false" outlineLevel="0" collapsed="false">
      <c r="A44" s="6" t="s">
        <v>1818</v>
      </c>
      <c r="B44" s="6" t="s">
        <v>1802</v>
      </c>
      <c r="C44" s="6" t="s">
        <v>376</v>
      </c>
      <c r="D44" s="6" t="s">
        <v>1734</v>
      </c>
      <c r="E44" s="6" t="s">
        <v>1819</v>
      </c>
      <c r="F44" s="6" t="s">
        <v>1809</v>
      </c>
      <c r="G44" s="6" t="s">
        <v>1820</v>
      </c>
      <c r="H44" s="6" t="s">
        <v>1439</v>
      </c>
      <c r="I44" s="6" t="s">
        <v>406</v>
      </c>
      <c r="J44" s="6" t="s">
        <v>1426</v>
      </c>
      <c r="K44" s="6" t="s">
        <v>32</v>
      </c>
    </row>
    <row r="45" customFormat="false" ht="23.85" hidden="false" customHeight="false" outlineLevel="0" collapsed="false">
      <c r="A45" s="6" t="s">
        <v>1821</v>
      </c>
      <c r="B45" s="6" t="s">
        <v>1822</v>
      </c>
      <c r="C45" s="6" t="s">
        <v>1823</v>
      </c>
      <c r="D45" s="6" t="s">
        <v>1134</v>
      </c>
      <c r="E45" s="6" t="s">
        <v>1824</v>
      </c>
      <c r="F45" s="6" t="s">
        <v>1825</v>
      </c>
      <c r="G45" s="6" t="s">
        <v>1826</v>
      </c>
      <c r="H45" s="6" t="s">
        <v>1827</v>
      </c>
      <c r="I45" s="6" t="s">
        <v>406</v>
      </c>
      <c r="J45" s="6" t="s">
        <v>1426</v>
      </c>
      <c r="K45" s="6" t="s">
        <v>32</v>
      </c>
    </row>
    <row r="46" customFormat="false" ht="23.85" hidden="false" customHeight="false" outlineLevel="0" collapsed="false">
      <c r="A46" s="6" t="s">
        <v>1828</v>
      </c>
      <c r="B46" s="6" t="s">
        <v>1822</v>
      </c>
      <c r="C46" s="6" t="s">
        <v>1829</v>
      </c>
      <c r="D46" s="6" t="s">
        <v>1134</v>
      </c>
      <c r="E46" s="6" t="s">
        <v>1830</v>
      </c>
      <c r="F46" s="6" t="s">
        <v>1825</v>
      </c>
      <c r="G46" s="6" t="s">
        <v>1831</v>
      </c>
      <c r="H46" s="6" t="s">
        <v>1455</v>
      </c>
      <c r="I46" s="6" t="s">
        <v>406</v>
      </c>
      <c r="J46" s="6" t="s">
        <v>1426</v>
      </c>
      <c r="K46" s="6" t="s">
        <v>32</v>
      </c>
    </row>
    <row r="47" customFormat="false" ht="23.85" hidden="false" customHeight="false" outlineLevel="0" collapsed="false">
      <c r="A47" s="6" t="s">
        <v>1832</v>
      </c>
      <c r="B47" s="6" t="s">
        <v>1822</v>
      </c>
      <c r="C47" s="6" t="s">
        <v>1833</v>
      </c>
      <c r="D47" s="6" t="s">
        <v>1134</v>
      </c>
      <c r="E47" s="6" t="n">
        <v>60</v>
      </c>
      <c r="F47" s="6" t="s">
        <v>1783</v>
      </c>
      <c r="G47" s="6" t="s">
        <v>1834</v>
      </c>
      <c r="H47" s="6" t="s">
        <v>1459</v>
      </c>
      <c r="I47" s="6" t="s">
        <v>406</v>
      </c>
      <c r="J47" s="6" t="s">
        <v>1426</v>
      </c>
      <c r="K47" s="6" t="s">
        <v>32</v>
      </c>
    </row>
    <row r="48" customFormat="false" ht="23.85" hidden="false" customHeight="false" outlineLevel="0" collapsed="false">
      <c r="A48" s="6" t="s">
        <v>1835</v>
      </c>
      <c r="B48" s="6" t="s">
        <v>1822</v>
      </c>
      <c r="C48" s="6" t="s">
        <v>1836</v>
      </c>
      <c r="D48" s="6" t="s">
        <v>1134</v>
      </c>
      <c r="E48" s="6" t="s">
        <v>1837</v>
      </c>
      <c r="F48" s="6" t="s">
        <v>1838</v>
      </c>
      <c r="G48" s="6" t="s">
        <v>1839</v>
      </c>
      <c r="H48" s="6" t="s">
        <v>1464</v>
      </c>
      <c r="I48" s="6" t="s">
        <v>130</v>
      </c>
      <c r="J48" s="6" t="s">
        <v>1426</v>
      </c>
      <c r="K48" s="6" t="s">
        <v>32</v>
      </c>
    </row>
    <row r="49" customFormat="false" ht="23.85" hidden="false" customHeight="false" outlineLevel="0" collapsed="false">
      <c r="A49" s="6" t="s">
        <v>1840</v>
      </c>
      <c r="B49" s="6" t="s">
        <v>1841</v>
      </c>
      <c r="C49" s="6" t="s">
        <v>1842</v>
      </c>
      <c r="D49" s="6" t="s">
        <v>1734</v>
      </c>
      <c r="E49" s="6" t="s">
        <v>1843</v>
      </c>
      <c r="F49" s="6"/>
      <c r="G49" s="6" t="s">
        <v>1844</v>
      </c>
      <c r="H49" s="6" t="s">
        <v>1845</v>
      </c>
      <c r="I49" s="6" t="s">
        <v>1287</v>
      </c>
      <c r="J49" s="6" t="s">
        <v>1426</v>
      </c>
      <c r="K49" s="6" t="s">
        <v>32</v>
      </c>
    </row>
    <row r="50" customFormat="false" ht="35.05" hidden="false" customHeight="false" outlineLevel="0" collapsed="false">
      <c r="A50" s="6" t="s">
        <v>1846</v>
      </c>
      <c r="B50" s="6" t="s">
        <v>1799</v>
      </c>
      <c r="C50" s="6" t="s">
        <v>1847</v>
      </c>
      <c r="D50" s="6" t="s">
        <v>1134</v>
      </c>
      <c r="E50" s="6" t="s">
        <v>1848</v>
      </c>
      <c r="F50" s="6" t="s">
        <v>1783</v>
      </c>
      <c r="G50" s="6" t="s">
        <v>1849</v>
      </c>
      <c r="H50" s="6" t="s">
        <v>1850</v>
      </c>
      <c r="I50" s="6" t="s">
        <v>1353</v>
      </c>
      <c r="J50" s="6" t="s">
        <v>104</v>
      </c>
      <c r="K50" s="6" t="s">
        <v>33</v>
      </c>
    </row>
    <row r="51" customFormat="false" ht="15" hidden="false" customHeight="false" outlineLevel="0" collapsed="false">
      <c r="A51" s="6" t="s">
        <v>1851</v>
      </c>
      <c r="B51" s="6" t="s">
        <v>1786</v>
      </c>
      <c r="C51" s="6" t="s">
        <v>1852</v>
      </c>
      <c r="D51" s="6" t="s">
        <v>1134</v>
      </c>
      <c r="E51" s="6" t="n">
        <v>80</v>
      </c>
      <c r="F51" s="6"/>
      <c r="G51" s="6" t="s">
        <v>1853</v>
      </c>
      <c r="H51" s="6" t="s">
        <v>1655</v>
      </c>
      <c r="I51" s="6" t="s">
        <v>1353</v>
      </c>
      <c r="J51" s="6" t="s">
        <v>104</v>
      </c>
      <c r="K51" s="6" t="s">
        <v>33</v>
      </c>
    </row>
    <row r="52" customFormat="false" ht="15" hidden="false" customHeight="false" outlineLevel="0" collapsed="false">
      <c r="A52" s="6" t="s">
        <v>1854</v>
      </c>
      <c r="B52" s="6" t="s">
        <v>1855</v>
      </c>
      <c r="C52" s="6" t="s">
        <v>1856</v>
      </c>
      <c r="D52" s="6" t="s">
        <v>1134</v>
      </c>
      <c r="E52" s="6" t="s">
        <v>1857</v>
      </c>
      <c r="F52" s="6"/>
      <c r="G52" s="6" t="s">
        <v>1858</v>
      </c>
      <c r="H52" s="6" t="s">
        <v>1154</v>
      </c>
      <c r="I52" s="6" t="s">
        <v>191</v>
      </c>
      <c r="J52" s="6" t="s">
        <v>104</v>
      </c>
      <c r="K52" s="6" t="s">
        <v>33</v>
      </c>
    </row>
    <row r="53" customFormat="false" ht="15" hidden="false" customHeight="false" outlineLevel="0" collapsed="false">
      <c r="A53" s="6" t="s">
        <v>1859</v>
      </c>
      <c r="B53" s="6" t="s">
        <v>1855</v>
      </c>
      <c r="C53" s="6" t="s">
        <v>1860</v>
      </c>
      <c r="D53" s="6" t="s">
        <v>1134</v>
      </c>
      <c r="E53" s="6" t="n">
        <v>5</v>
      </c>
      <c r="F53" s="6" t="s">
        <v>1748</v>
      </c>
      <c r="G53" s="6" t="s">
        <v>1861</v>
      </c>
      <c r="H53" s="6" t="s">
        <v>1252</v>
      </c>
      <c r="I53" s="6" t="s">
        <v>191</v>
      </c>
      <c r="J53" s="6" t="s">
        <v>104</v>
      </c>
      <c r="K53" s="6" t="s">
        <v>33</v>
      </c>
    </row>
    <row r="54" customFormat="false" ht="15" hidden="false" customHeight="false" outlineLevel="0" collapsed="false">
      <c r="A54" s="6" t="s">
        <v>1862</v>
      </c>
      <c r="B54" s="6" t="s">
        <v>1855</v>
      </c>
      <c r="C54" s="6" t="s">
        <v>1863</v>
      </c>
      <c r="D54" s="6" t="s">
        <v>1134</v>
      </c>
      <c r="E54" s="6" t="n">
        <v>3</v>
      </c>
      <c r="F54" s="6" t="s">
        <v>1748</v>
      </c>
      <c r="G54" s="6" t="s">
        <v>1864</v>
      </c>
      <c r="H54" s="6" t="s">
        <v>1255</v>
      </c>
      <c r="I54" s="6" t="s">
        <v>191</v>
      </c>
      <c r="J54" s="6" t="s">
        <v>104</v>
      </c>
      <c r="K54" s="6" t="s">
        <v>33</v>
      </c>
    </row>
    <row r="55" customFormat="false" ht="23.85" hidden="false" customHeight="false" outlineLevel="0" collapsed="false">
      <c r="A55" s="6" t="s">
        <v>1865</v>
      </c>
      <c r="B55" s="6" t="s">
        <v>1855</v>
      </c>
      <c r="C55" s="6" t="s">
        <v>1866</v>
      </c>
      <c r="D55" s="6" t="s">
        <v>1867</v>
      </c>
      <c r="E55" s="6" t="s">
        <v>1868</v>
      </c>
      <c r="F55" s="6"/>
      <c r="G55" s="6" t="s">
        <v>1869</v>
      </c>
      <c r="H55" s="6" t="s">
        <v>1260</v>
      </c>
      <c r="I55" s="6" t="s">
        <v>191</v>
      </c>
      <c r="J55" s="6" t="s">
        <v>104</v>
      </c>
      <c r="K55" s="6" t="s">
        <v>33</v>
      </c>
    </row>
    <row r="56" customFormat="false" ht="15" hidden="false" customHeight="false" outlineLevel="0" collapsed="false">
      <c r="A56" s="6" t="s">
        <v>1870</v>
      </c>
      <c r="B56" s="6" t="s">
        <v>1871</v>
      </c>
      <c r="C56" s="6" t="s">
        <v>1872</v>
      </c>
      <c r="D56" s="6" t="s">
        <v>1134</v>
      </c>
      <c r="E56" s="6" t="s">
        <v>1873</v>
      </c>
      <c r="F56" s="6"/>
      <c r="G56" s="6" t="s">
        <v>1874</v>
      </c>
      <c r="H56" s="6" t="s">
        <v>1875</v>
      </c>
      <c r="I56" s="6" t="s">
        <v>705</v>
      </c>
      <c r="J56" s="6" t="s">
        <v>706</v>
      </c>
      <c r="K56" s="6" t="s">
        <v>32</v>
      </c>
    </row>
    <row r="57" customFormat="false" ht="15" hidden="false" customHeight="false" outlineLevel="0" collapsed="false">
      <c r="A57" s="6" t="s">
        <v>1876</v>
      </c>
      <c r="B57" s="6" t="s">
        <v>1871</v>
      </c>
      <c r="C57" s="6" t="s">
        <v>1877</v>
      </c>
      <c r="D57" s="6" t="s">
        <v>1134</v>
      </c>
      <c r="E57" s="6" t="n">
        <v>2000</v>
      </c>
      <c r="F57" s="6" t="s">
        <v>1878</v>
      </c>
      <c r="G57" s="6" t="s">
        <v>1879</v>
      </c>
      <c r="H57" s="6" t="s">
        <v>1190</v>
      </c>
      <c r="I57" s="6" t="s">
        <v>705</v>
      </c>
      <c r="J57" s="6" t="s">
        <v>104</v>
      </c>
      <c r="K57" s="6" t="s">
        <v>33</v>
      </c>
    </row>
    <row r="58" customFormat="false" ht="15" hidden="false" customHeight="false" outlineLevel="0" collapsed="false">
      <c r="A58" s="6" t="s">
        <v>1880</v>
      </c>
      <c r="B58" s="6" t="s">
        <v>1871</v>
      </c>
      <c r="C58" s="6" t="s">
        <v>1881</v>
      </c>
      <c r="D58" s="6" t="s">
        <v>1134</v>
      </c>
      <c r="E58" s="6" t="n">
        <v>3</v>
      </c>
      <c r="F58" s="6"/>
      <c r="G58" s="6" t="s">
        <v>1882</v>
      </c>
      <c r="H58" s="6" t="s">
        <v>1203</v>
      </c>
      <c r="I58" s="6" t="s">
        <v>705</v>
      </c>
      <c r="J58" s="6" t="s">
        <v>104</v>
      </c>
      <c r="K58" s="6" t="s">
        <v>33</v>
      </c>
    </row>
    <row r="59" customFormat="false" ht="15" hidden="false" customHeight="false" outlineLevel="0" collapsed="false">
      <c r="A59" s="6" t="s">
        <v>1883</v>
      </c>
      <c r="B59" s="6" t="s">
        <v>1871</v>
      </c>
      <c r="C59" s="6" t="s">
        <v>1884</v>
      </c>
      <c r="D59" s="6" t="s">
        <v>1134</v>
      </c>
      <c r="E59" s="6" t="n">
        <v>4</v>
      </c>
      <c r="F59" s="6"/>
      <c r="G59" s="6" t="s">
        <v>1885</v>
      </c>
      <c r="H59" s="6" t="s">
        <v>1886</v>
      </c>
      <c r="I59" s="6" t="s">
        <v>705</v>
      </c>
      <c r="J59" s="6" t="s">
        <v>104</v>
      </c>
      <c r="K59" s="6" t="s">
        <v>33</v>
      </c>
    </row>
    <row r="60" customFormat="false" ht="23.85" hidden="false" customHeight="false" outlineLevel="0" collapsed="false">
      <c r="A60" s="6" t="s">
        <v>1887</v>
      </c>
      <c r="B60" s="6" t="s">
        <v>1888</v>
      </c>
      <c r="C60" s="6" t="s">
        <v>1889</v>
      </c>
      <c r="D60" s="6" t="s">
        <v>1134</v>
      </c>
      <c r="E60" s="6" t="s">
        <v>1890</v>
      </c>
      <c r="F60" s="6"/>
      <c r="G60" s="6" t="s">
        <v>1891</v>
      </c>
      <c r="H60" s="6" t="s">
        <v>822</v>
      </c>
      <c r="I60" s="6" t="s">
        <v>827</v>
      </c>
      <c r="J60" s="6" t="s">
        <v>104</v>
      </c>
      <c r="K60" s="6" t="s">
        <v>33</v>
      </c>
    </row>
    <row r="61" customFormat="false" ht="23.85" hidden="false" customHeight="false" outlineLevel="0" collapsed="false">
      <c r="A61" s="6" t="s">
        <v>1892</v>
      </c>
      <c r="B61" s="6" t="s">
        <v>1888</v>
      </c>
      <c r="C61" s="6" t="s">
        <v>1893</v>
      </c>
      <c r="D61" s="6" t="s">
        <v>1894</v>
      </c>
      <c r="E61" s="6" t="s">
        <v>1895</v>
      </c>
      <c r="F61" s="6" t="s">
        <v>1768</v>
      </c>
      <c r="G61" s="6" t="s">
        <v>1896</v>
      </c>
      <c r="H61" s="6" t="s">
        <v>1897</v>
      </c>
      <c r="I61" s="6" t="s">
        <v>510</v>
      </c>
      <c r="J61" s="6" t="s">
        <v>104</v>
      </c>
      <c r="K61" s="6" t="s">
        <v>33</v>
      </c>
    </row>
    <row r="62" customFormat="false" ht="15" hidden="false" customHeight="false" outlineLevel="0" collapsed="false">
      <c r="A62" s="6" t="s">
        <v>1898</v>
      </c>
      <c r="B62" s="6" t="s">
        <v>1888</v>
      </c>
      <c r="C62" s="6" t="s">
        <v>1899</v>
      </c>
      <c r="D62" s="6" t="s">
        <v>1164</v>
      </c>
      <c r="E62" s="6" t="s">
        <v>1900</v>
      </c>
      <c r="F62" s="6"/>
      <c r="G62" s="6" t="s">
        <v>1901</v>
      </c>
      <c r="H62" s="6" t="s">
        <v>616</v>
      </c>
      <c r="I62" s="6" t="s">
        <v>542</v>
      </c>
      <c r="J62" s="6" t="s">
        <v>496</v>
      </c>
      <c r="K62" s="6" t="s">
        <v>32</v>
      </c>
    </row>
    <row r="63" customFormat="false" ht="23.85" hidden="false" customHeight="false" outlineLevel="0" collapsed="false">
      <c r="A63" s="6" t="s">
        <v>1902</v>
      </c>
      <c r="B63" s="6" t="s">
        <v>1888</v>
      </c>
      <c r="C63" s="6" t="s">
        <v>1903</v>
      </c>
      <c r="D63" s="6" t="s">
        <v>1134</v>
      </c>
      <c r="E63" s="6" t="s">
        <v>1904</v>
      </c>
      <c r="F63" s="6"/>
      <c r="G63" s="6" t="s">
        <v>1905</v>
      </c>
      <c r="H63" s="6" t="s">
        <v>833</v>
      </c>
      <c r="I63" s="6" t="s">
        <v>424</v>
      </c>
      <c r="J63" s="6" t="s">
        <v>425</v>
      </c>
      <c r="K63" s="6" t="s">
        <v>32</v>
      </c>
    </row>
    <row r="64" customFormat="false" ht="15" hidden="false" customHeight="false" outlineLevel="0" collapsed="false">
      <c r="A64" s="6" t="s">
        <v>1906</v>
      </c>
      <c r="B64" s="6" t="s">
        <v>1888</v>
      </c>
      <c r="C64" s="6" t="s">
        <v>1907</v>
      </c>
      <c r="D64" s="6" t="s">
        <v>1134</v>
      </c>
      <c r="E64" s="6" t="n">
        <v>3</v>
      </c>
      <c r="F64" s="6"/>
      <c r="G64" s="6" t="s">
        <v>1908</v>
      </c>
      <c r="H64" s="6" t="s">
        <v>845</v>
      </c>
      <c r="I64" s="6" t="s">
        <v>130</v>
      </c>
      <c r="J64" s="6" t="s">
        <v>104</v>
      </c>
      <c r="K64" s="6" t="s">
        <v>33</v>
      </c>
    </row>
    <row r="65" customFormat="false" ht="15" hidden="false" customHeight="false" outlineLevel="0" collapsed="false">
      <c r="A65" s="6" t="s">
        <v>1909</v>
      </c>
      <c r="B65" s="6" t="s">
        <v>1888</v>
      </c>
      <c r="C65" s="6" t="s">
        <v>1910</v>
      </c>
      <c r="D65" s="6" t="s">
        <v>1164</v>
      </c>
      <c r="E65" s="6" t="s">
        <v>1911</v>
      </c>
      <c r="F65" s="6"/>
      <c r="G65" s="6" t="s">
        <v>1912</v>
      </c>
      <c r="H65" s="6" t="s">
        <v>841</v>
      </c>
      <c r="I65" s="6" t="s">
        <v>827</v>
      </c>
      <c r="J65" s="6" t="s">
        <v>104</v>
      </c>
      <c r="K65" s="6" t="s">
        <v>33</v>
      </c>
    </row>
    <row r="66" customFormat="false" ht="15" hidden="false" customHeight="false" outlineLevel="0" collapsed="false">
      <c r="A66" s="6" t="s">
        <v>1913</v>
      </c>
      <c r="B66" s="6" t="s">
        <v>1914</v>
      </c>
      <c r="C66" s="6" t="s">
        <v>1915</v>
      </c>
      <c r="D66" s="6" t="s">
        <v>1134</v>
      </c>
      <c r="E66" s="6" t="s">
        <v>1916</v>
      </c>
      <c r="F66" s="6"/>
      <c r="G66" s="6" t="s">
        <v>1917</v>
      </c>
      <c r="H66" s="6" t="s">
        <v>249</v>
      </c>
      <c r="I66" s="6" t="s">
        <v>231</v>
      </c>
      <c r="J66" s="6" t="s">
        <v>232</v>
      </c>
      <c r="K66" s="6" t="s">
        <v>32</v>
      </c>
    </row>
    <row r="67" customFormat="false" ht="15" hidden="false" customHeight="false" outlineLevel="0" collapsed="false">
      <c r="A67" s="6" t="s">
        <v>1918</v>
      </c>
      <c r="B67" s="6" t="s">
        <v>1919</v>
      </c>
      <c r="C67" s="6" t="s">
        <v>1920</v>
      </c>
      <c r="D67" s="6" t="s">
        <v>1134</v>
      </c>
      <c r="E67" s="6" t="n">
        <v>500</v>
      </c>
      <c r="F67" s="6"/>
      <c r="G67" s="6" t="s">
        <v>1921</v>
      </c>
      <c r="H67" s="6" t="s">
        <v>743</v>
      </c>
      <c r="I67" s="6" t="s">
        <v>200</v>
      </c>
      <c r="J67" s="6" t="s">
        <v>104</v>
      </c>
      <c r="K67" s="6" t="s">
        <v>33</v>
      </c>
    </row>
    <row r="68" customFormat="false" ht="15" hidden="false" customHeight="false" outlineLevel="0" collapsed="false">
      <c r="A68" s="6"/>
      <c r="B68" s="6"/>
      <c r="C68" s="6"/>
      <c r="D68" s="6"/>
      <c r="E68" s="6"/>
      <c r="F68" s="6"/>
      <c r="G68" s="6"/>
      <c r="H68" s="6"/>
      <c r="I68" s="6"/>
      <c r="J68" s="6"/>
      <c r="K68" s="6"/>
    </row>
    <row r="69" customFormat="false" ht="15" hidden="false" customHeight="false" outlineLevel="0" collapsed="false">
      <c r="A69" s="6"/>
      <c r="B69" s="6"/>
      <c r="C69" s="6"/>
      <c r="D69" s="6"/>
      <c r="E69" s="6"/>
      <c r="F69" s="6"/>
      <c r="G69" s="6"/>
      <c r="H69" s="6"/>
      <c r="I69" s="6"/>
      <c r="J69" s="6"/>
      <c r="K69" s="6"/>
    </row>
    <row r="70" customFormat="false" ht="15" hidden="false" customHeight="false" outlineLevel="0" collapsed="false">
      <c r="A70" s="6"/>
      <c r="B70" s="6"/>
      <c r="C70" s="6"/>
      <c r="D70" s="6"/>
      <c r="E70" s="6"/>
      <c r="F70" s="6"/>
      <c r="G70" s="6"/>
      <c r="H70" s="6"/>
      <c r="I70" s="6"/>
      <c r="J70" s="6"/>
      <c r="K70" s="6"/>
    </row>
    <row r="71" customFormat="false" ht="15" hidden="false" customHeight="false" outlineLevel="0" collapsed="false">
      <c r="A71" s="6"/>
      <c r="B71" s="6"/>
      <c r="C71" s="6"/>
      <c r="D71" s="6"/>
      <c r="E71" s="6"/>
      <c r="F71" s="6"/>
      <c r="G71" s="6"/>
      <c r="H71" s="6"/>
      <c r="I71" s="6"/>
      <c r="J71" s="6"/>
      <c r="K71" s="6"/>
    </row>
  </sheetData>
  <autoFilter ref="A7:K71"/>
  <mergeCells count="2">
    <mergeCell ref="A5:K5"/>
    <mergeCell ref="A6:K6"/>
  </mergeCells>
  <conditionalFormatting sqref="K8:K71">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K8:K71"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40"/>
    <col collapsed="false" customWidth="true" hidden="false" outlineLevel="0" max="4" min="4" style="0" width="34"/>
    <col collapsed="false" customWidth="true" hidden="false" outlineLevel="0" max="6" min="5" style="0" width="44"/>
    <col collapsed="false" customWidth="true" hidden="false" outlineLevel="0" max="7" min="7" style="0" width="13"/>
  </cols>
  <sheetData>
    <row r="1" customFormat="false" ht="17.35" hidden="false" customHeight="false" outlineLevel="0" collapsed="false">
      <c r="A1" s="1" t="s">
        <v>1922</v>
      </c>
    </row>
    <row r="2" customFormat="false" ht="15" hidden="false" customHeight="false" outlineLevel="0" collapsed="false">
      <c r="A2" s="2" t="s">
        <v>1923</v>
      </c>
    </row>
    <row r="3" customFormat="false" ht="15" hidden="false" customHeight="false" outlineLevel="0" collapsed="false">
      <c r="A3" s="3" t="str">
        <f aca="false">HYPERLINK("#'0 Index'!A1","↩ Index")</f>
        <v>↩ Index</v>
      </c>
    </row>
    <row r="5" customFormat="false" ht="15" hidden="false" customHeight="false" outlineLevel="0" collapsed="false">
      <c r="A5" s="57" t="s">
        <v>89</v>
      </c>
      <c r="B5" s="57" t="s">
        <v>1924</v>
      </c>
      <c r="C5" s="57" t="s">
        <v>1925</v>
      </c>
      <c r="D5" s="57" t="s">
        <v>1926</v>
      </c>
      <c r="E5" s="57" t="s">
        <v>1927</v>
      </c>
      <c r="F5" s="57" t="s">
        <v>1928</v>
      </c>
      <c r="G5" s="57" t="s">
        <v>75</v>
      </c>
    </row>
    <row r="6" customFormat="false" ht="35.05" hidden="false" customHeight="false" outlineLevel="0" collapsed="false">
      <c r="A6" s="6" t="s">
        <v>99</v>
      </c>
      <c r="B6" s="6" t="s">
        <v>1929</v>
      </c>
      <c r="C6" s="6" t="s">
        <v>1930</v>
      </c>
      <c r="D6" s="6" t="s">
        <v>1931</v>
      </c>
      <c r="E6" s="6" t="s">
        <v>1932</v>
      </c>
      <c r="F6" s="6" t="s">
        <v>1933</v>
      </c>
      <c r="G6" s="6" t="s">
        <v>32</v>
      </c>
    </row>
    <row r="7" customFormat="false" ht="292.5" hidden="false" customHeight="false" outlineLevel="0" collapsed="false">
      <c r="A7" s="6" t="s">
        <v>175</v>
      </c>
      <c r="B7" s="6" t="s">
        <v>1934</v>
      </c>
      <c r="C7" s="6" t="s">
        <v>1935</v>
      </c>
      <c r="D7" s="6" t="s">
        <v>1936</v>
      </c>
      <c r="E7" s="6" t="s">
        <v>1937</v>
      </c>
      <c r="F7" s="6" t="s">
        <v>1938</v>
      </c>
      <c r="G7" s="6" t="s">
        <v>32</v>
      </c>
    </row>
    <row r="8" customFormat="false" ht="57.45" hidden="false" customHeight="false" outlineLevel="0" collapsed="false">
      <c r="A8" s="6" t="s">
        <v>969</v>
      </c>
      <c r="B8" s="6" t="s">
        <v>1939</v>
      </c>
      <c r="C8" s="6" t="s">
        <v>1940</v>
      </c>
      <c r="D8" s="6"/>
      <c r="E8" s="6" t="s">
        <v>1941</v>
      </c>
      <c r="F8" s="6" t="s">
        <v>1942</v>
      </c>
      <c r="G8" s="6" t="s">
        <v>32</v>
      </c>
    </row>
    <row r="9" customFormat="false" ht="35.05" hidden="false" customHeight="false" outlineLevel="0" collapsed="false">
      <c r="A9" s="6" t="s">
        <v>803</v>
      </c>
      <c r="B9" s="6" t="s">
        <v>1943</v>
      </c>
      <c r="C9" s="6" t="s">
        <v>1944</v>
      </c>
      <c r="D9" s="6" t="s">
        <v>1945</v>
      </c>
      <c r="E9" s="6" t="s">
        <v>1946</v>
      </c>
      <c r="F9" s="6" t="s">
        <v>1947</v>
      </c>
      <c r="G9" s="6" t="s">
        <v>32</v>
      </c>
    </row>
    <row r="10" customFormat="false" ht="35.05" hidden="false" customHeight="false" outlineLevel="0" collapsed="false">
      <c r="A10" s="6" t="s">
        <v>510</v>
      </c>
      <c r="B10" s="6" t="s">
        <v>1948</v>
      </c>
      <c r="C10" s="6" t="s">
        <v>1949</v>
      </c>
      <c r="D10" s="6"/>
      <c r="E10" s="6" t="s">
        <v>1950</v>
      </c>
      <c r="F10" s="6" t="s">
        <v>1951</v>
      </c>
      <c r="G10" s="6" t="s">
        <v>32</v>
      </c>
    </row>
    <row r="11" customFormat="false" ht="46.25" hidden="false" customHeight="false" outlineLevel="0" collapsed="false">
      <c r="A11" s="6" t="s">
        <v>596</v>
      </c>
      <c r="B11" s="6" t="s">
        <v>1952</v>
      </c>
      <c r="C11" s="6" t="s">
        <v>1953</v>
      </c>
      <c r="D11" s="6" t="s">
        <v>1954</v>
      </c>
      <c r="E11" s="6" t="s">
        <v>1955</v>
      </c>
      <c r="F11" s="6" t="s">
        <v>1956</v>
      </c>
      <c r="G11" s="6" t="s">
        <v>32</v>
      </c>
    </row>
    <row r="12" customFormat="false" ht="91" hidden="false" customHeight="false" outlineLevel="0" collapsed="false">
      <c r="A12" s="6" t="s">
        <v>424</v>
      </c>
      <c r="B12" s="6" t="s">
        <v>1957</v>
      </c>
      <c r="C12" s="6" t="s">
        <v>1958</v>
      </c>
      <c r="D12" s="6"/>
      <c r="E12" s="6" t="s">
        <v>1959</v>
      </c>
      <c r="F12" s="6" t="s">
        <v>1960</v>
      </c>
      <c r="G12" s="6" t="s">
        <v>32</v>
      </c>
    </row>
    <row r="13" customFormat="false" ht="23.85" hidden="false" customHeight="false" outlineLevel="0" collapsed="false">
      <c r="A13" s="6" t="s">
        <v>827</v>
      </c>
      <c r="B13" s="6" t="s">
        <v>1961</v>
      </c>
      <c r="C13" s="6" t="s">
        <v>1962</v>
      </c>
      <c r="D13" s="6" t="s">
        <v>1963</v>
      </c>
      <c r="E13" s="6" t="s">
        <v>1964</v>
      </c>
      <c r="F13" s="6" t="s">
        <v>1965</v>
      </c>
      <c r="G13" s="6" t="s">
        <v>32</v>
      </c>
    </row>
    <row r="14" customFormat="false" ht="15" hidden="false" customHeight="false" outlineLevel="0" collapsed="false">
      <c r="A14" s="6" t="s">
        <v>556</v>
      </c>
      <c r="B14" s="6" t="s">
        <v>552</v>
      </c>
      <c r="C14" s="6" t="s">
        <v>1966</v>
      </c>
      <c r="D14" s="6"/>
      <c r="E14" s="6" t="s">
        <v>1967</v>
      </c>
      <c r="F14" s="6" t="s">
        <v>1968</v>
      </c>
      <c r="G14" s="6" t="s">
        <v>32</v>
      </c>
    </row>
    <row r="15" customFormat="false" ht="35.05" hidden="false" customHeight="false" outlineLevel="0" collapsed="false">
      <c r="A15" s="6" t="s">
        <v>549</v>
      </c>
      <c r="B15" s="6" t="s">
        <v>1969</v>
      </c>
      <c r="C15" s="6" t="s">
        <v>1970</v>
      </c>
      <c r="D15" s="6"/>
      <c r="E15" s="6" t="s">
        <v>1971</v>
      </c>
      <c r="F15" s="6" t="s">
        <v>1972</v>
      </c>
      <c r="G15" s="6" t="s">
        <v>32</v>
      </c>
    </row>
    <row r="16" customFormat="false" ht="35.05" hidden="false" customHeight="false" outlineLevel="0" collapsed="false">
      <c r="A16" s="6" t="s">
        <v>568</v>
      </c>
      <c r="B16" s="6" t="s">
        <v>1973</v>
      </c>
      <c r="C16" s="6" t="s">
        <v>1974</v>
      </c>
      <c r="D16" s="6"/>
      <c r="E16" s="6" t="s">
        <v>1975</v>
      </c>
      <c r="F16" s="6" t="s">
        <v>1976</v>
      </c>
      <c r="G16" s="6" t="s">
        <v>32</v>
      </c>
    </row>
    <row r="17" customFormat="false" ht="35.05" hidden="false" customHeight="false" outlineLevel="0" collapsed="false">
      <c r="A17" s="6" t="s">
        <v>116</v>
      </c>
      <c r="B17" s="6" t="s">
        <v>1977</v>
      </c>
      <c r="C17" s="6" t="s">
        <v>1978</v>
      </c>
      <c r="D17" s="6"/>
      <c r="E17" s="6" t="s">
        <v>1979</v>
      </c>
      <c r="F17" s="6" t="s">
        <v>1980</v>
      </c>
      <c r="G17" s="6" t="s">
        <v>32</v>
      </c>
    </row>
    <row r="18" customFormat="false" ht="46.25" hidden="false" customHeight="false" outlineLevel="0" collapsed="false">
      <c r="A18" s="6" t="s">
        <v>130</v>
      </c>
      <c r="B18" s="6" t="s">
        <v>1981</v>
      </c>
      <c r="C18" s="6" t="s">
        <v>1982</v>
      </c>
      <c r="D18" s="6"/>
      <c r="E18" s="6" t="s">
        <v>1983</v>
      </c>
      <c r="F18" s="6" t="s">
        <v>1984</v>
      </c>
      <c r="G18" s="6" t="s">
        <v>32</v>
      </c>
    </row>
    <row r="19" customFormat="false" ht="57.45" hidden="false" customHeight="false" outlineLevel="0" collapsed="false">
      <c r="A19" s="6" t="s">
        <v>406</v>
      </c>
      <c r="B19" s="6" t="s">
        <v>1985</v>
      </c>
      <c r="C19" s="6" t="s">
        <v>1986</v>
      </c>
      <c r="D19" s="6"/>
      <c r="E19" s="6" t="s">
        <v>1987</v>
      </c>
      <c r="F19" s="6" t="s">
        <v>1988</v>
      </c>
      <c r="G19" s="6" t="s">
        <v>32</v>
      </c>
    </row>
    <row r="20" customFormat="false" ht="79.85" hidden="false" customHeight="false" outlineLevel="0" collapsed="false">
      <c r="A20" s="6" t="s">
        <v>705</v>
      </c>
      <c r="B20" s="6" t="s">
        <v>1989</v>
      </c>
      <c r="C20" s="6" t="s">
        <v>1990</v>
      </c>
      <c r="D20" s="6"/>
      <c r="E20" s="6" t="s">
        <v>1991</v>
      </c>
      <c r="F20" s="6" t="s">
        <v>1992</v>
      </c>
      <c r="G20" s="6" t="s">
        <v>32</v>
      </c>
    </row>
    <row r="21" customFormat="false" ht="57.45" hidden="false" customHeight="false" outlineLevel="0" collapsed="false">
      <c r="A21" s="6" t="s">
        <v>135</v>
      </c>
      <c r="B21" s="6" t="s">
        <v>1993</v>
      </c>
      <c r="C21" s="6" t="s">
        <v>1994</v>
      </c>
      <c r="D21" s="6"/>
      <c r="E21" s="6" t="s">
        <v>1995</v>
      </c>
      <c r="F21" s="6" t="s">
        <v>1996</v>
      </c>
      <c r="G21" s="6" t="s">
        <v>32</v>
      </c>
    </row>
    <row r="22" customFormat="false" ht="23.85" hidden="false" customHeight="false" outlineLevel="0" collapsed="false">
      <c r="A22" s="6" t="s">
        <v>216</v>
      </c>
      <c r="B22" s="6" t="s">
        <v>1997</v>
      </c>
      <c r="C22" s="6" t="s">
        <v>1998</v>
      </c>
      <c r="D22" s="6" t="s">
        <v>1999</v>
      </c>
      <c r="E22" s="6" t="s">
        <v>32</v>
      </c>
      <c r="F22" s="6" t="s">
        <v>2000</v>
      </c>
      <c r="G22" s="6" t="s">
        <v>32</v>
      </c>
    </row>
    <row r="23" customFormat="false" ht="23.85" hidden="false" customHeight="false" outlineLevel="0" collapsed="false">
      <c r="A23" s="6" t="s">
        <v>231</v>
      </c>
      <c r="B23" s="6" t="s">
        <v>2001</v>
      </c>
      <c r="C23" s="6" t="s">
        <v>2002</v>
      </c>
      <c r="D23" s="6" t="s">
        <v>2003</v>
      </c>
      <c r="E23" s="6" t="s">
        <v>32</v>
      </c>
      <c r="F23" s="6" t="s">
        <v>2004</v>
      </c>
      <c r="G23" s="6" t="s">
        <v>32</v>
      </c>
    </row>
    <row r="24" customFormat="false" ht="46.25" hidden="false" customHeight="false" outlineLevel="0" collapsed="false">
      <c r="A24" s="6" t="s">
        <v>191</v>
      </c>
      <c r="B24" s="6" t="s">
        <v>2005</v>
      </c>
      <c r="C24" s="6" t="s">
        <v>2006</v>
      </c>
      <c r="D24" s="6"/>
      <c r="E24" s="6" t="s">
        <v>2007</v>
      </c>
      <c r="F24" s="6" t="s">
        <v>2008</v>
      </c>
      <c r="G24" s="6" t="s">
        <v>32</v>
      </c>
    </row>
    <row r="25" customFormat="false" ht="15" hidden="false" customHeight="false" outlineLevel="0" collapsed="false">
      <c r="A25" s="6" t="s">
        <v>2009</v>
      </c>
      <c r="B25" s="6" t="s">
        <v>2010</v>
      </c>
      <c r="C25" s="6" t="s">
        <v>2011</v>
      </c>
      <c r="D25" s="6"/>
      <c r="E25" s="6" t="s">
        <v>2012</v>
      </c>
      <c r="F25" s="6" t="s">
        <v>2013</v>
      </c>
      <c r="G25" s="6" t="s">
        <v>32</v>
      </c>
    </row>
    <row r="26" customFormat="false" ht="91" hidden="false" customHeight="false" outlineLevel="0" collapsed="false">
      <c r="A26" s="6" t="s">
        <v>986</v>
      </c>
      <c r="B26" s="6" t="s">
        <v>838</v>
      </c>
      <c r="C26" s="6" t="s">
        <v>2014</v>
      </c>
      <c r="D26" s="6"/>
      <c r="E26" s="6" t="s">
        <v>2015</v>
      </c>
      <c r="F26" s="6" t="s">
        <v>2016</v>
      </c>
      <c r="G26" s="6" t="s">
        <v>32</v>
      </c>
    </row>
    <row r="27" customFormat="false" ht="35.05" hidden="false" customHeight="false" outlineLevel="0" collapsed="false">
      <c r="A27" s="6" t="s">
        <v>1541</v>
      </c>
      <c r="B27" s="6" t="s">
        <v>1538</v>
      </c>
      <c r="C27" s="6" t="s">
        <v>2017</v>
      </c>
      <c r="D27" s="6"/>
      <c r="E27" s="6" t="s">
        <v>2018</v>
      </c>
      <c r="F27" s="6" t="s">
        <v>2019</v>
      </c>
      <c r="G27" s="6" t="s">
        <v>32</v>
      </c>
    </row>
    <row r="28" customFormat="false" ht="23.85" hidden="false" customHeight="false" outlineLevel="0" collapsed="false">
      <c r="A28" s="6" t="s">
        <v>1507</v>
      </c>
      <c r="B28" s="6" t="s">
        <v>2020</v>
      </c>
      <c r="C28" s="6" t="s">
        <v>2021</v>
      </c>
      <c r="D28" s="6" t="s">
        <v>2022</v>
      </c>
      <c r="E28" s="6" t="s">
        <v>2023</v>
      </c>
      <c r="F28" s="6" t="s">
        <v>2024</v>
      </c>
      <c r="G28" s="6" t="s">
        <v>32</v>
      </c>
    </row>
    <row r="29" customFormat="false" ht="35.05" hidden="false" customHeight="false" outlineLevel="0" collapsed="false">
      <c r="A29" s="6" t="s">
        <v>1353</v>
      </c>
      <c r="B29" s="6" t="s">
        <v>2025</v>
      </c>
      <c r="C29" s="6" t="s">
        <v>2026</v>
      </c>
      <c r="D29" s="6"/>
      <c r="E29" s="6" t="s">
        <v>2027</v>
      </c>
      <c r="F29" s="6" t="s">
        <v>2028</v>
      </c>
      <c r="G29" s="6" t="s">
        <v>32</v>
      </c>
    </row>
    <row r="30" customFormat="false" ht="23.85" hidden="false" customHeight="false" outlineLevel="0" collapsed="false">
      <c r="A30" s="6" t="s">
        <v>226</v>
      </c>
      <c r="B30" s="6" t="s">
        <v>2029</v>
      </c>
      <c r="C30" s="6" t="s">
        <v>2030</v>
      </c>
      <c r="D30" s="6"/>
      <c r="E30" s="6" t="s">
        <v>2031</v>
      </c>
      <c r="F30" s="6" t="s">
        <v>2032</v>
      </c>
      <c r="G30" s="6" t="s">
        <v>32</v>
      </c>
    </row>
    <row r="31" customFormat="false" ht="68.65" hidden="false" customHeight="false" outlineLevel="0" collapsed="false">
      <c r="A31" s="6" t="s">
        <v>163</v>
      </c>
      <c r="B31" s="6" t="s">
        <v>2033</v>
      </c>
      <c r="C31" s="6" t="s">
        <v>2034</v>
      </c>
      <c r="D31" s="6" t="s">
        <v>2035</v>
      </c>
      <c r="E31" s="6" t="s">
        <v>2036</v>
      </c>
      <c r="F31" s="6" t="s">
        <v>2037</v>
      </c>
      <c r="G31" s="6" t="s">
        <v>32</v>
      </c>
    </row>
    <row r="32" customFormat="false" ht="23.85" hidden="false" customHeight="false" outlineLevel="0" collapsed="false">
      <c r="A32" s="6" t="s">
        <v>2038</v>
      </c>
      <c r="B32" s="6" t="s">
        <v>2039</v>
      </c>
      <c r="C32" s="6" t="s">
        <v>2040</v>
      </c>
      <c r="D32" s="6"/>
      <c r="E32" s="6" t="s">
        <v>2041</v>
      </c>
      <c r="F32" s="6" t="s">
        <v>2042</v>
      </c>
      <c r="G32" s="6" t="s">
        <v>32</v>
      </c>
    </row>
    <row r="33" customFormat="false" ht="23.85" hidden="false" customHeight="false" outlineLevel="0" collapsed="false">
      <c r="A33" s="6" t="s">
        <v>2043</v>
      </c>
      <c r="B33" s="6" t="s">
        <v>2044</v>
      </c>
      <c r="C33" s="6" t="s">
        <v>2045</v>
      </c>
      <c r="D33" s="6" t="s">
        <v>2046</v>
      </c>
      <c r="E33" s="6" t="s">
        <v>2023</v>
      </c>
      <c r="F33" s="6" t="s">
        <v>2047</v>
      </c>
      <c r="G33" s="6" t="s">
        <v>32</v>
      </c>
    </row>
    <row r="34" customFormat="false" ht="35.05" hidden="false" customHeight="false" outlineLevel="0" collapsed="false">
      <c r="A34" s="6" t="s">
        <v>140</v>
      </c>
      <c r="B34" s="6" t="s">
        <v>2048</v>
      </c>
      <c r="C34" s="6" t="s">
        <v>2049</v>
      </c>
      <c r="D34" s="6" t="s">
        <v>2050</v>
      </c>
      <c r="E34" s="6" t="s">
        <v>2051</v>
      </c>
      <c r="F34" s="6" t="s">
        <v>2052</v>
      </c>
      <c r="G34" s="6" t="s">
        <v>32</v>
      </c>
    </row>
    <row r="35" customFormat="false" ht="23.85" hidden="false" customHeight="false" outlineLevel="0" collapsed="false">
      <c r="A35" s="6" t="s">
        <v>542</v>
      </c>
      <c r="B35" s="6" t="s">
        <v>494</v>
      </c>
      <c r="C35" s="6" t="s">
        <v>2053</v>
      </c>
      <c r="D35" s="6" t="s">
        <v>2054</v>
      </c>
      <c r="E35" s="6" t="s">
        <v>2055</v>
      </c>
      <c r="F35" s="6" t="s">
        <v>2056</v>
      </c>
      <c r="G35" s="6" t="s">
        <v>32</v>
      </c>
    </row>
    <row r="36" customFormat="false" ht="23.85" hidden="false" customHeight="false" outlineLevel="0" collapsed="false">
      <c r="A36" s="6" t="s">
        <v>200</v>
      </c>
      <c r="B36" s="6" t="s">
        <v>257</v>
      </c>
      <c r="C36" s="6" t="s">
        <v>2057</v>
      </c>
      <c r="D36" s="6" t="s">
        <v>2058</v>
      </c>
      <c r="E36" s="6" t="s">
        <v>2059</v>
      </c>
      <c r="F36" s="6" t="s">
        <v>2060</v>
      </c>
      <c r="G36" s="6" t="s">
        <v>32</v>
      </c>
    </row>
    <row r="37" customFormat="false" ht="23.85" hidden="false" customHeight="false" outlineLevel="0" collapsed="false">
      <c r="A37" s="6" t="s">
        <v>237</v>
      </c>
      <c r="B37" s="6" t="s">
        <v>2061</v>
      </c>
      <c r="C37" s="6" t="s">
        <v>2062</v>
      </c>
      <c r="D37" s="6" t="s">
        <v>2063</v>
      </c>
      <c r="E37" s="6" t="s">
        <v>2023</v>
      </c>
      <c r="F37" s="6" t="s">
        <v>2064</v>
      </c>
      <c r="G37" s="6" t="s">
        <v>32</v>
      </c>
    </row>
    <row r="38" customFormat="false" ht="23.85" hidden="false" customHeight="false" outlineLevel="0" collapsed="false">
      <c r="A38" s="6" t="s">
        <v>145</v>
      </c>
      <c r="B38" s="6" t="s">
        <v>157</v>
      </c>
      <c r="C38" s="6" t="s">
        <v>2065</v>
      </c>
      <c r="D38" s="6" t="s">
        <v>2066</v>
      </c>
      <c r="E38" s="6" t="s">
        <v>2023</v>
      </c>
      <c r="F38" s="6" t="s">
        <v>2067</v>
      </c>
      <c r="G38" s="6" t="s">
        <v>32</v>
      </c>
    </row>
    <row r="39" customFormat="false" ht="23.85" hidden="false" customHeight="false" outlineLevel="0" collapsed="false">
      <c r="A39" s="6" t="s">
        <v>297</v>
      </c>
      <c r="B39" s="6" t="s">
        <v>2068</v>
      </c>
      <c r="C39" s="6" t="s">
        <v>2069</v>
      </c>
      <c r="D39" s="6" t="s">
        <v>2070</v>
      </c>
      <c r="E39" s="6" t="s">
        <v>2023</v>
      </c>
      <c r="F39" s="6" t="s">
        <v>2071</v>
      </c>
      <c r="G39" s="6" t="s">
        <v>32</v>
      </c>
    </row>
    <row r="40" customFormat="false" ht="57.45" hidden="false" customHeight="false" outlineLevel="0" collapsed="false">
      <c r="A40" s="6" t="s">
        <v>154</v>
      </c>
      <c r="B40" s="6" t="s">
        <v>152</v>
      </c>
      <c r="C40" s="6" t="s">
        <v>2072</v>
      </c>
      <c r="D40" s="6"/>
      <c r="E40" s="6" t="s">
        <v>2073</v>
      </c>
      <c r="F40" s="6" t="s">
        <v>2074</v>
      </c>
      <c r="G40" s="6" t="s">
        <v>32</v>
      </c>
    </row>
    <row r="41" customFormat="false" ht="23.85" hidden="false" customHeight="false" outlineLevel="0" collapsed="false">
      <c r="A41" s="6" t="s">
        <v>1620</v>
      </c>
      <c r="B41" s="6" t="s">
        <v>2075</v>
      </c>
      <c r="C41" s="6" t="s">
        <v>2076</v>
      </c>
      <c r="D41" s="6" t="s">
        <v>2077</v>
      </c>
      <c r="E41" s="6" t="s">
        <v>2023</v>
      </c>
      <c r="F41" s="6" t="s">
        <v>2078</v>
      </c>
      <c r="G41" s="6" t="s">
        <v>32</v>
      </c>
    </row>
    <row r="42" customFormat="false" ht="91" hidden="false" customHeight="false" outlineLevel="0" collapsed="false">
      <c r="A42" s="6" t="s">
        <v>311</v>
      </c>
      <c r="B42" s="6" t="s">
        <v>718</v>
      </c>
      <c r="C42" s="6" t="s">
        <v>2079</v>
      </c>
      <c r="D42" s="6"/>
      <c r="E42" s="6" t="s">
        <v>2080</v>
      </c>
      <c r="F42" s="6" t="s">
        <v>2081</v>
      </c>
      <c r="G42" s="6" t="s">
        <v>32</v>
      </c>
    </row>
    <row r="43" customFormat="false" ht="15" hidden="false" customHeight="false" outlineLevel="0" collapsed="false">
      <c r="A43" s="6"/>
      <c r="B43" s="6"/>
      <c r="C43" s="6"/>
      <c r="D43" s="6"/>
      <c r="E43" s="6"/>
      <c r="F43" s="6"/>
      <c r="G43" s="6"/>
    </row>
    <row r="44" customFormat="false" ht="15" hidden="false" customHeight="false" outlineLevel="0" collapsed="false">
      <c r="A44" s="6"/>
      <c r="B44" s="6"/>
      <c r="C44" s="6"/>
      <c r="D44" s="6"/>
      <c r="E44" s="6"/>
      <c r="F44" s="6"/>
      <c r="G44" s="6"/>
    </row>
    <row r="45" customFormat="false" ht="15" hidden="false" customHeight="false" outlineLevel="0" collapsed="false">
      <c r="A45" s="6"/>
      <c r="B45" s="6"/>
      <c r="C45" s="6"/>
      <c r="D45" s="6"/>
      <c r="E45" s="6"/>
      <c r="F45" s="6"/>
      <c r="G45" s="6"/>
    </row>
  </sheetData>
  <autoFilter ref="A5:G45"/>
  <conditionalFormatting sqref="G6:G45">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G6:G45"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F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60"/>
    <col collapsed="false" customWidth="true" hidden="false" outlineLevel="0" max="4" min="4" style="0" width="34"/>
    <col collapsed="false" customWidth="true" hidden="false" outlineLevel="0" max="5" min="5" style="0" width="16"/>
    <col collapsed="false" customWidth="true" hidden="false" outlineLevel="0" max="6" min="6" style="0" width="13"/>
  </cols>
  <sheetData>
    <row r="1" customFormat="false" ht="17.35" hidden="false" customHeight="false" outlineLevel="0" collapsed="false">
      <c r="A1" s="1" t="s">
        <v>2082</v>
      </c>
    </row>
    <row r="2" customFormat="false" ht="15" hidden="false" customHeight="false" outlineLevel="0" collapsed="false">
      <c r="A2" s="2" t="s">
        <v>2083</v>
      </c>
    </row>
    <row r="3" customFormat="false" ht="15" hidden="false" customHeight="false" outlineLevel="0" collapsed="false">
      <c r="A3" s="3" t="str">
        <f aca="false">HYPERLINK("#'0 Index'!A1","↩ Index")</f>
        <v>↩ Index</v>
      </c>
    </row>
    <row r="5" customFormat="false" ht="15" hidden="false" customHeight="false" outlineLevel="0" collapsed="false">
      <c r="A5" s="58" t="s">
        <v>89</v>
      </c>
      <c r="B5" s="58" t="s">
        <v>2084</v>
      </c>
      <c r="C5" s="58" t="s">
        <v>2085</v>
      </c>
      <c r="D5" s="58" t="s">
        <v>2086</v>
      </c>
      <c r="E5" s="58" t="s">
        <v>2087</v>
      </c>
      <c r="F5" s="58" t="s">
        <v>75</v>
      </c>
    </row>
    <row r="6" customFormat="false" ht="15" hidden="false" customHeight="false" outlineLevel="0" collapsed="false">
      <c r="A6" s="6" t="s">
        <v>2088</v>
      </c>
      <c r="B6" s="6" t="s">
        <v>2089</v>
      </c>
      <c r="C6" s="6" t="s">
        <v>2090</v>
      </c>
      <c r="D6" s="6" t="s">
        <v>2091</v>
      </c>
      <c r="E6" s="6"/>
      <c r="F6" s="6" t="s">
        <v>32</v>
      </c>
    </row>
    <row r="7" customFormat="false" ht="23.85" hidden="false" customHeight="false" outlineLevel="0" collapsed="false">
      <c r="A7" s="6" t="s">
        <v>2092</v>
      </c>
      <c r="B7" s="6" t="s">
        <v>2089</v>
      </c>
      <c r="C7" s="6" t="s">
        <v>2093</v>
      </c>
      <c r="D7" s="6" t="s">
        <v>2094</v>
      </c>
      <c r="E7" s="6" t="s">
        <v>2095</v>
      </c>
      <c r="F7" s="6" t="s">
        <v>32</v>
      </c>
    </row>
    <row r="8" customFormat="false" ht="15" hidden="false" customHeight="false" outlineLevel="0" collapsed="false">
      <c r="A8" s="6" t="s">
        <v>2096</v>
      </c>
      <c r="B8" s="6" t="s">
        <v>2089</v>
      </c>
      <c r="C8" s="6" t="s">
        <v>2097</v>
      </c>
      <c r="D8" s="6" t="s">
        <v>2098</v>
      </c>
      <c r="E8" s="6" t="s">
        <v>2009</v>
      </c>
      <c r="F8" s="6" t="s">
        <v>32</v>
      </c>
    </row>
    <row r="9" customFormat="false" ht="15" hidden="false" customHeight="false" outlineLevel="0" collapsed="false">
      <c r="A9" s="6" t="s">
        <v>2099</v>
      </c>
      <c r="B9" s="6" t="s">
        <v>2089</v>
      </c>
      <c r="C9" s="6" t="s">
        <v>2100</v>
      </c>
      <c r="D9" s="6" t="s">
        <v>2101</v>
      </c>
      <c r="E9" s="6" t="s">
        <v>2102</v>
      </c>
      <c r="F9" s="6" t="s">
        <v>32</v>
      </c>
    </row>
    <row r="10" customFormat="false" ht="23.85" hidden="false" customHeight="false" outlineLevel="0" collapsed="false">
      <c r="A10" s="6" t="s">
        <v>2103</v>
      </c>
      <c r="B10" s="6" t="s">
        <v>2089</v>
      </c>
      <c r="C10" s="6" t="s">
        <v>2104</v>
      </c>
      <c r="D10" s="6" t="s">
        <v>2105</v>
      </c>
      <c r="E10" s="6" t="s">
        <v>2106</v>
      </c>
      <c r="F10" s="6" t="s">
        <v>32</v>
      </c>
    </row>
    <row r="11" customFormat="false" ht="15" hidden="false" customHeight="false" outlineLevel="0" collapsed="false">
      <c r="A11" s="6" t="s">
        <v>2107</v>
      </c>
      <c r="B11" s="6" t="s">
        <v>2089</v>
      </c>
      <c r="C11" s="6" t="s">
        <v>2108</v>
      </c>
      <c r="D11" s="6" t="s">
        <v>2109</v>
      </c>
      <c r="E11" s="6" t="s">
        <v>2110</v>
      </c>
      <c r="F11" s="6" t="s">
        <v>32</v>
      </c>
    </row>
    <row r="12" customFormat="false" ht="23.85" hidden="false" customHeight="false" outlineLevel="0" collapsed="false">
      <c r="A12" s="6" t="s">
        <v>2111</v>
      </c>
      <c r="B12" s="6" t="s">
        <v>2089</v>
      </c>
      <c r="C12" s="6" t="s">
        <v>2112</v>
      </c>
      <c r="D12" s="6" t="s">
        <v>2113</v>
      </c>
      <c r="E12" s="6" t="s">
        <v>132</v>
      </c>
      <c r="F12" s="6" t="s">
        <v>32</v>
      </c>
    </row>
    <row r="13" customFormat="false" ht="23.85" hidden="false" customHeight="false" outlineLevel="0" collapsed="false">
      <c r="A13" s="6" t="s">
        <v>2114</v>
      </c>
      <c r="B13" s="6" t="s">
        <v>2089</v>
      </c>
      <c r="C13" s="6" t="s">
        <v>2115</v>
      </c>
      <c r="D13" s="6" t="s">
        <v>2116</v>
      </c>
      <c r="E13" s="6" t="s">
        <v>2117</v>
      </c>
      <c r="F13" s="6" t="s">
        <v>32</v>
      </c>
    </row>
    <row r="14" customFormat="false" ht="15" hidden="false" customHeight="false" outlineLevel="0" collapsed="false">
      <c r="A14" s="6" t="s">
        <v>2118</v>
      </c>
      <c r="B14" s="6" t="s">
        <v>2089</v>
      </c>
      <c r="C14" s="6" t="s">
        <v>2119</v>
      </c>
      <c r="D14" s="6" t="s">
        <v>2120</v>
      </c>
      <c r="E14" s="6" t="s">
        <v>137</v>
      </c>
      <c r="F14" s="6" t="s">
        <v>32</v>
      </c>
    </row>
    <row r="15" customFormat="false" ht="15" hidden="false" customHeight="false" outlineLevel="0" collapsed="false">
      <c r="A15" s="6" t="s">
        <v>2121</v>
      </c>
      <c r="B15" s="6" t="s">
        <v>2089</v>
      </c>
      <c r="C15" s="6" t="s">
        <v>2122</v>
      </c>
      <c r="D15" s="6" t="s">
        <v>2123</v>
      </c>
      <c r="E15" s="6" t="s">
        <v>2124</v>
      </c>
      <c r="F15" s="6" t="s">
        <v>32</v>
      </c>
    </row>
    <row r="16" customFormat="false" ht="15" hidden="false" customHeight="false" outlineLevel="0" collapsed="false">
      <c r="A16" s="6" t="s">
        <v>2125</v>
      </c>
      <c r="B16" s="6" t="s">
        <v>2089</v>
      </c>
      <c r="C16" s="6" t="s">
        <v>2126</v>
      </c>
      <c r="D16" s="6" t="s">
        <v>2127</v>
      </c>
      <c r="E16" s="6" t="s">
        <v>2128</v>
      </c>
      <c r="F16" s="6" t="s">
        <v>32</v>
      </c>
    </row>
    <row r="17" customFormat="false" ht="23.85" hidden="false" customHeight="false" outlineLevel="0" collapsed="false">
      <c r="A17" s="6" t="s">
        <v>2129</v>
      </c>
      <c r="B17" s="6" t="s">
        <v>2089</v>
      </c>
      <c r="C17" s="6" t="s">
        <v>2130</v>
      </c>
      <c r="D17" s="6" t="s">
        <v>2131</v>
      </c>
      <c r="E17" s="6" t="s">
        <v>96</v>
      </c>
      <c r="F17" s="6" t="s">
        <v>32</v>
      </c>
    </row>
    <row r="18" customFormat="false" ht="23.85" hidden="false" customHeight="false" outlineLevel="0" collapsed="false">
      <c r="A18" s="6" t="s">
        <v>2132</v>
      </c>
      <c r="B18" s="6" t="s">
        <v>2089</v>
      </c>
      <c r="C18" s="6" t="s">
        <v>2133</v>
      </c>
      <c r="D18" s="6" t="s">
        <v>2134</v>
      </c>
      <c r="E18" s="6" t="s">
        <v>2135</v>
      </c>
      <c r="F18" s="6" t="s">
        <v>32</v>
      </c>
    </row>
    <row r="19" customFormat="false" ht="23.85" hidden="false" customHeight="false" outlineLevel="0" collapsed="false">
      <c r="A19" s="6" t="s">
        <v>2136</v>
      </c>
      <c r="B19" s="6" t="s">
        <v>2089</v>
      </c>
      <c r="C19" s="6" t="s">
        <v>2137</v>
      </c>
      <c r="D19" s="6" t="s">
        <v>2134</v>
      </c>
      <c r="E19" s="6" t="s">
        <v>2138</v>
      </c>
      <c r="F19" s="6" t="s">
        <v>32</v>
      </c>
    </row>
    <row r="20" customFormat="false" ht="15" hidden="false" customHeight="false" outlineLevel="0" collapsed="false">
      <c r="A20" s="6" t="s">
        <v>2139</v>
      </c>
      <c r="B20" s="6" t="s">
        <v>2089</v>
      </c>
      <c r="C20" s="6" t="s">
        <v>2140</v>
      </c>
      <c r="D20" s="6" t="s">
        <v>2141</v>
      </c>
      <c r="E20" s="6" t="s">
        <v>2142</v>
      </c>
      <c r="F20" s="6" t="s">
        <v>32</v>
      </c>
    </row>
    <row r="21" customFormat="false" ht="15" hidden="false" customHeight="false" outlineLevel="0" collapsed="false">
      <c r="A21" s="6" t="s">
        <v>2143</v>
      </c>
      <c r="B21" s="6" t="s">
        <v>2089</v>
      </c>
      <c r="C21" s="6" t="s">
        <v>2144</v>
      </c>
      <c r="D21" s="6" t="s">
        <v>2145</v>
      </c>
      <c r="E21" s="6" t="s">
        <v>798</v>
      </c>
      <c r="F21" s="6" t="s">
        <v>32</v>
      </c>
    </row>
    <row r="22" customFormat="false" ht="23.85" hidden="false" customHeight="false" outlineLevel="0" collapsed="false">
      <c r="A22" s="6" t="s">
        <v>2146</v>
      </c>
      <c r="B22" s="6" t="s">
        <v>2089</v>
      </c>
      <c r="C22" s="6" t="s">
        <v>2147</v>
      </c>
      <c r="D22" s="6" t="s">
        <v>2148</v>
      </c>
      <c r="E22" s="6" t="s">
        <v>1897</v>
      </c>
      <c r="F22" s="6" t="s">
        <v>32</v>
      </c>
    </row>
    <row r="23" customFormat="false" ht="23.85" hidden="false" customHeight="false" outlineLevel="0" collapsed="false">
      <c r="A23" s="6" t="s">
        <v>2149</v>
      </c>
      <c r="B23" s="6" t="s">
        <v>2089</v>
      </c>
      <c r="C23" s="6" t="s">
        <v>2150</v>
      </c>
      <c r="D23" s="6" t="s">
        <v>2151</v>
      </c>
      <c r="E23" s="6" t="s">
        <v>2152</v>
      </c>
      <c r="F23" s="6" t="s">
        <v>32</v>
      </c>
    </row>
    <row r="24" customFormat="false" ht="23.85" hidden="false" customHeight="false" outlineLevel="0" collapsed="false">
      <c r="A24" s="6" t="s">
        <v>2153</v>
      </c>
      <c r="B24" s="6" t="s">
        <v>2089</v>
      </c>
      <c r="C24" s="6" t="s">
        <v>2154</v>
      </c>
      <c r="D24" s="6" t="s">
        <v>2155</v>
      </c>
      <c r="E24" s="6" t="s">
        <v>2156</v>
      </c>
      <c r="F24" s="6" t="s">
        <v>32</v>
      </c>
    </row>
    <row r="25" customFormat="false" ht="23.85" hidden="false" customHeight="false" outlineLevel="0" collapsed="false">
      <c r="A25" s="6" t="s">
        <v>2157</v>
      </c>
      <c r="B25" s="6" t="s">
        <v>2089</v>
      </c>
      <c r="C25" s="6" t="s">
        <v>2158</v>
      </c>
      <c r="D25" s="6" t="s">
        <v>2159</v>
      </c>
      <c r="E25" s="6" t="s">
        <v>2160</v>
      </c>
      <c r="F25" s="6" t="s">
        <v>32</v>
      </c>
    </row>
    <row r="26" customFormat="false" ht="15" hidden="false" customHeight="false" outlineLevel="0" collapsed="false">
      <c r="A26" s="6" t="s">
        <v>2161</v>
      </c>
      <c r="B26" s="6" t="s">
        <v>2089</v>
      </c>
      <c r="C26" s="6" t="s">
        <v>2162</v>
      </c>
      <c r="D26" s="6" t="s">
        <v>2163</v>
      </c>
      <c r="E26" s="6" t="s">
        <v>866</v>
      </c>
      <c r="F26" s="6" t="s">
        <v>32</v>
      </c>
    </row>
    <row r="27" customFormat="false" ht="15" hidden="false" customHeight="false" outlineLevel="0" collapsed="false">
      <c r="A27" s="6" t="s">
        <v>2164</v>
      </c>
      <c r="B27" s="6" t="s">
        <v>2089</v>
      </c>
      <c r="C27" s="6" t="s">
        <v>2165</v>
      </c>
      <c r="D27" s="6" t="s">
        <v>2166</v>
      </c>
      <c r="E27" s="6" t="s">
        <v>2167</v>
      </c>
      <c r="F27" s="6" t="s">
        <v>32</v>
      </c>
    </row>
    <row r="28" customFormat="false" ht="23.85" hidden="false" customHeight="false" outlineLevel="0" collapsed="false">
      <c r="A28" s="6" t="s">
        <v>2168</v>
      </c>
      <c r="B28" s="6" t="s">
        <v>2089</v>
      </c>
      <c r="C28" s="6" t="s">
        <v>2169</v>
      </c>
      <c r="D28" s="6" t="s">
        <v>2170</v>
      </c>
      <c r="E28" s="6" t="s">
        <v>2171</v>
      </c>
      <c r="F28" s="6" t="s">
        <v>32</v>
      </c>
    </row>
    <row r="29" customFormat="false" ht="23.85" hidden="false" customHeight="false" outlineLevel="0" collapsed="false">
      <c r="A29" s="6" t="s">
        <v>2172</v>
      </c>
      <c r="B29" s="6" t="s">
        <v>2089</v>
      </c>
      <c r="C29" s="6" t="s">
        <v>2173</v>
      </c>
      <c r="D29" s="6" t="s">
        <v>2174</v>
      </c>
      <c r="E29" s="6" t="s">
        <v>2175</v>
      </c>
      <c r="F29" s="6" t="s">
        <v>32</v>
      </c>
    </row>
    <row r="30" customFormat="false" ht="35.05" hidden="false" customHeight="false" outlineLevel="0" collapsed="false">
      <c r="A30" s="6" t="s">
        <v>2176</v>
      </c>
      <c r="B30" s="6" t="s">
        <v>2089</v>
      </c>
      <c r="C30" s="6" t="s">
        <v>2177</v>
      </c>
      <c r="D30" s="6" t="s">
        <v>2178</v>
      </c>
      <c r="E30" s="6" t="s">
        <v>2179</v>
      </c>
      <c r="F30" s="6" t="s">
        <v>32</v>
      </c>
    </row>
    <row r="31" customFormat="false" ht="15" hidden="false" customHeight="false" outlineLevel="0" collapsed="false">
      <c r="A31" s="6" t="s">
        <v>2180</v>
      </c>
      <c r="B31" s="6" t="s">
        <v>2089</v>
      </c>
      <c r="C31" s="6" t="s">
        <v>2181</v>
      </c>
      <c r="D31" s="6" t="s">
        <v>2182</v>
      </c>
      <c r="E31" s="6" t="s">
        <v>609</v>
      </c>
      <c r="F31" s="6" t="s">
        <v>32</v>
      </c>
    </row>
    <row r="32" customFormat="false" ht="15" hidden="false" customHeight="false" outlineLevel="0" collapsed="false">
      <c r="A32" s="6" t="s">
        <v>2183</v>
      </c>
      <c r="B32" s="6" t="s">
        <v>2089</v>
      </c>
      <c r="C32" s="6" t="s">
        <v>2184</v>
      </c>
      <c r="D32" s="6" t="s">
        <v>2185</v>
      </c>
      <c r="E32" s="6" t="s">
        <v>249</v>
      </c>
      <c r="F32" s="6" t="s">
        <v>32</v>
      </c>
    </row>
    <row r="33" customFormat="false" ht="15" hidden="false" customHeight="false" outlineLevel="0" collapsed="false">
      <c r="A33" s="6" t="s">
        <v>2186</v>
      </c>
      <c r="B33" s="6" t="s">
        <v>2089</v>
      </c>
      <c r="C33" s="6" t="s">
        <v>2187</v>
      </c>
      <c r="D33" s="6" t="s">
        <v>2188</v>
      </c>
      <c r="E33" s="6" t="s">
        <v>1226</v>
      </c>
      <c r="F33" s="6" t="s">
        <v>32</v>
      </c>
    </row>
    <row r="34" customFormat="false" ht="15" hidden="false" customHeight="false" outlineLevel="0" collapsed="false">
      <c r="A34" s="6" t="s">
        <v>2189</v>
      </c>
      <c r="B34" s="6" t="s">
        <v>2089</v>
      </c>
      <c r="C34" s="6" t="s">
        <v>2190</v>
      </c>
      <c r="D34" s="6" t="s">
        <v>2191</v>
      </c>
      <c r="E34" s="6" t="s">
        <v>2192</v>
      </c>
      <c r="F34" s="6" t="s">
        <v>32</v>
      </c>
    </row>
    <row r="35" customFormat="false" ht="23.85" hidden="false" customHeight="false" outlineLevel="0" collapsed="false">
      <c r="A35" s="6" t="s">
        <v>2193</v>
      </c>
      <c r="B35" s="6" t="s">
        <v>2089</v>
      </c>
      <c r="C35" s="6" t="s">
        <v>2194</v>
      </c>
      <c r="D35" s="6" t="s">
        <v>2195</v>
      </c>
      <c r="E35" s="6" t="s">
        <v>2196</v>
      </c>
      <c r="F35" s="6" t="s">
        <v>32</v>
      </c>
    </row>
    <row r="36" customFormat="false" ht="15" hidden="false" customHeight="false" outlineLevel="0" collapsed="false">
      <c r="A36" s="6" t="s">
        <v>2197</v>
      </c>
      <c r="B36" s="6" t="s">
        <v>2089</v>
      </c>
      <c r="C36" s="6" t="s">
        <v>2198</v>
      </c>
      <c r="D36" s="6" t="s">
        <v>2199</v>
      </c>
      <c r="E36" s="6" t="s">
        <v>1613</v>
      </c>
      <c r="F36" s="6" t="s">
        <v>32</v>
      </c>
    </row>
    <row r="37" customFormat="false" ht="15" hidden="false" customHeight="false" outlineLevel="0" collapsed="false">
      <c r="A37" s="6" t="s">
        <v>2200</v>
      </c>
      <c r="B37" s="6" t="s">
        <v>2089</v>
      </c>
      <c r="C37" s="6" t="s">
        <v>2201</v>
      </c>
      <c r="D37" s="6" t="s">
        <v>2202</v>
      </c>
      <c r="E37" s="6" t="s">
        <v>223</v>
      </c>
      <c r="F37" s="6" t="s">
        <v>32</v>
      </c>
    </row>
    <row r="38" customFormat="false" ht="23.85" hidden="false" customHeight="false" outlineLevel="0" collapsed="false">
      <c r="A38" s="6" t="s">
        <v>2203</v>
      </c>
      <c r="B38" s="6" t="s">
        <v>2089</v>
      </c>
      <c r="C38" s="6" t="s">
        <v>2204</v>
      </c>
      <c r="D38" s="6" t="s">
        <v>2205</v>
      </c>
      <c r="E38" s="6" t="s">
        <v>160</v>
      </c>
      <c r="F38" s="6" t="s">
        <v>32</v>
      </c>
    </row>
    <row r="39" customFormat="false" ht="23.85" hidden="false" customHeight="false" outlineLevel="0" collapsed="false">
      <c r="A39" s="6" t="s">
        <v>2206</v>
      </c>
      <c r="B39" s="6" t="s">
        <v>2089</v>
      </c>
      <c r="C39" s="6" t="s">
        <v>2207</v>
      </c>
      <c r="D39" s="6" t="s">
        <v>2208</v>
      </c>
      <c r="E39" s="6" t="s">
        <v>2209</v>
      </c>
      <c r="F39" s="6" t="s">
        <v>32</v>
      </c>
    </row>
    <row r="40" customFormat="false" ht="15" hidden="false" customHeight="false" outlineLevel="0" collapsed="false">
      <c r="A40" s="6" t="s">
        <v>2210</v>
      </c>
      <c r="B40" s="6" t="s">
        <v>2089</v>
      </c>
      <c r="C40" s="6" t="s">
        <v>2211</v>
      </c>
      <c r="D40" s="6" t="s">
        <v>2212</v>
      </c>
      <c r="E40" s="6" t="s">
        <v>1494</v>
      </c>
      <c r="F40" s="6" t="s">
        <v>32</v>
      </c>
    </row>
    <row r="41" customFormat="false" ht="15" hidden="false" customHeight="false" outlineLevel="0" collapsed="false">
      <c r="A41" s="6" t="s">
        <v>2213</v>
      </c>
      <c r="B41" s="6" t="s">
        <v>2089</v>
      </c>
      <c r="C41" s="6" t="s">
        <v>2214</v>
      </c>
      <c r="D41" s="6" t="s">
        <v>2215</v>
      </c>
      <c r="E41" s="6" t="s">
        <v>616</v>
      </c>
      <c r="F41" s="6" t="s">
        <v>32</v>
      </c>
    </row>
    <row r="42" customFormat="false" ht="15" hidden="false" customHeight="false" outlineLevel="0" collapsed="false">
      <c r="A42" s="6" t="s">
        <v>2216</v>
      </c>
      <c r="B42" s="6" t="s">
        <v>2089</v>
      </c>
      <c r="C42" s="6" t="s">
        <v>2217</v>
      </c>
      <c r="D42" s="6" t="s">
        <v>2218</v>
      </c>
      <c r="E42" s="6" t="s">
        <v>256</v>
      </c>
      <c r="F42" s="6" t="s">
        <v>32</v>
      </c>
    </row>
    <row r="43" customFormat="false" ht="23.85" hidden="false" customHeight="false" outlineLevel="0" collapsed="false">
      <c r="A43" s="6" t="s">
        <v>2219</v>
      </c>
      <c r="B43" s="6" t="s">
        <v>2089</v>
      </c>
      <c r="C43" s="6" t="s">
        <v>2220</v>
      </c>
      <c r="D43" s="6" t="s">
        <v>2221</v>
      </c>
      <c r="E43" s="6" t="s">
        <v>233</v>
      </c>
      <c r="F43" s="6" t="s">
        <v>32</v>
      </c>
    </row>
    <row r="44" customFormat="false" ht="23.85" hidden="false" customHeight="false" outlineLevel="0" collapsed="false">
      <c r="A44" s="6" t="s">
        <v>2222</v>
      </c>
      <c r="B44" s="6" t="s">
        <v>2089</v>
      </c>
      <c r="C44" s="6" t="s">
        <v>2223</v>
      </c>
      <c r="D44" s="6" t="s">
        <v>2224</v>
      </c>
      <c r="E44" s="6" t="s">
        <v>156</v>
      </c>
      <c r="F44" s="6" t="s">
        <v>32</v>
      </c>
    </row>
    <row r="45" customFormat="false" ht="23.85" hidden="false" customHeight="false" outlineLevel="0" collapsed="false">
      <c r="A45" s="6" t="s">
        <v>2225</v>
      </c>
      <c r="B45" s="6" t="s">
        <v>2089</v>
      </c>
      <c r="C45" s="6" t="s">
        <v>2226</v>
      </c>
      <c r="D45" s="6" t="s">
        <v>2227</v>
      </c>
      <c r="E45" s="6" t="s">
        <v>2228</v>
      </c>
      <c r="F45" s="6" t="s">
        <v>32</v>
      </c>
    </row>
    <row r="46" customFormat="false" ht="15" hidden="false" customHeight="false" outlineLevel="0" collapsed="false">
      <c r="A46" s="6" t="s">
        <v>2229</v>
      </c>
      <c r="B46" s="6" t="s">
        <v>2089</v>
      </c>
      <c r="C46" s="6" t="s">
        <v>2230</v>
      </c>
      <c r="D46" s="6" t="s">
        <v>2231</v>
      </c>
      <c r="E46" s="6" t="s">
        <v>151</v>
      </c>
      <c r="F46" s="6" t="s">
        <v>32</v>
      </c>
    </row>
    <row r="47" customFormat="false" ht="23.85" hidden="false" customHeight="false" outlineLevel="0" collapsed="false">
      <c r="A47" s="6" t="s">
        <v>2232</v>
      </c>
      <c r="B47" s="6" t="s">
        <v>2089</v>
      </c>
      <c r="C47" s="6" t="s">
        <v>2233</v>
      </c>
      <c r="D47" s="6" t="s">
        <v>2234</v>
      </c>
      <c r="E47" s="6" t="s">
        <v>1617</v>
      </c>
      <c r="F47" s="6" t="s">
        <v>32</v>
      </c>
    </row>
    <row r="48" customFormat="false" ht="23.85" hidden="false" customHeight="false" outlineLevel="0" collapsed="false">
      <c r="A48" s="6" t="s">
        <v>2235</v>
      </c>
      <c r="B48" s="6" t="s">
        <v>2089</v>
      </c>
      <c r="C48" s="6" t="s">
        <v>2236</v>
      </c>
      <c r="D48" s="6" t="s">
        <v>2237</v>
      </c>
      <c r="E48" s="6" t="s">
        <v>2238</v>
      </c>
      <c r="F48" s="6" t="s">
        <v>32</v>
      </c>
    </row>
    <row r="49" customFormat="false" ht="23.85" hidden="false" customHeight="false" outlineLevel="0" collapsed="false">
      <c r="A49" s="6" t="s">
        <v>2239</v>
      </c>
      <c r="B49" s="6" t="s">
        <v>2089</v>
      </c>
      <c r="C49" s="6" t="s">
        <v>2240</v>
      </c>
      <c r="D49" s="6" t="s">
        <v>2241</v>
      </c>
      <c r="E49" s="6" t="s">
        <v>1074</v>
      </c>
      <c r="F49" s="6" t="s">
        <v>32</v>
      </c>
    </row>
    <row r="50" customFormat="false" ht="23.85" hidden="false" customHeight="false" outlineLevel="0" collapsed="false">
      <c r="A50" s="6" t="s">
        <v>2242</v>
      </c>
      <c r="B50" s="6" t="s">
        <v>2089</v>
      </c>
      <c r="C50" s="6" t="s">
        <v>2243</v>
      </c>
      <c r="D50" s="6" t="s">
        <v>2244</v>
      </c>
      <c r="E50" s="6" t="s">
        <v>2245</v>
      </c>
      <c r="F50" s="6" t="s">
        <v>32</v>
      </c>
    </row>
    <row r="51" customFormat="false" ht="23.85" hidden="false" customHeight="false" outlineLevel="0" collapsed="false">
      <c r="A51" s="6" t="s">
        <v>2246</v>
      </c>
      <c r="B51" s="6" t="s">
        <v>2089</v>
      </c>
      <c r="C51" s="6" t="s">
        <v>2247</v>
      </c>
      <c r="D51" s="6" t="s">
        <v>2248</v>
      </c>
      <c r="E51" s="6" t="s">
        <v>1486</v>
      </c>
      <c r="F51" s="6" t="s">
        <v>32</v>
      </c>
    </row>
    <row r="52" customFormat="false" ht="23.85" hidden="false" customHeight="false" outlineLevel="0" collapsed="false">
      <c r="A52" s="6" t="s">
        <v>2249</v>
      </c>
      <c r="B52" s="6" t="s">
        <v>2089</v>
      </c>
      <c r="C52" s="6" t="s">
        <v>2250</v>
      </c>
      <c r="D52" s="6" t="s">
        <v>2251</v>
      </c>
      <c r="E52" s="6" t="s">
        <v>1255</v>
      </c>
      <c r="F52" s="6" t="s">
        <v>32</v>
      </c>
    </row>
    <row r="53" customFormat="false" ht="23.85" hidden="false" customHeight="false" outlineLevel="0" collapsed="false">
      <c r="A53" s="6" t="s">
        <v>2252</v>
      </c>
      <c r="B53" s="6" t="s">
        <v>2089</v>
      </c>
      <c r="C53" s="6" t="s">
        <v>2253</v>
      </c>
      <c r="D53" s="6" t="s">
        <v>2254</v>
      </c>
      <c r="E53" s="6" t="s">
        <v>1646</v>
      </c>
      <c r="F53" s="6" t="s">
        <v>32</v>
      </c>
    </row>
    <row r="54" customFormat="false" ht="23.85" hidden="false" customHeight="false" outlineLevel="0" collapsed="false">
      <c r="A54" s="6" t="s">
        <v>2255</v>
      </c>
      <c r="B54" s="6" t="s">
        <v>2089</v>
      </c>
      <c r="C54" s="6" t="s">
        <v>2256</v>
      </c>
      <c r="D54" s="6" t="s">
        <v>2257</v>
      </c>
      <c r="E54" s="6" t="s">
        <v>2258</v>
      </c>
      <c r="F54" s="6" t="s">
        <v>32</v>
      </c>
    </row>
    <row r="55" customFormat="false" ht="15" hidden="false" customHeight="false" outlineLevel="0" collapsed="false">
      <c r="A55" s="6" t="s">
        <v>2259</v>
      </c>
      <c r="B55" s="6" t="s">
        <v>2089</v>
      </c>
      <c r="C55" s="6" t="s">
        <v>2260</v>
      </c>
      <c r="D55" s="6" t="s">
        <v>2261</v>
      </c>
      <c r="E55" s="6" t="s">
        <v>2262</v>
      </c>
      <c r="F55" s="6" t="s">
        <v>32</v>
      </c>
    </row>
    <row r="56" customFormat="false" ht="23.85" hidden="false" customHeight="false" outlineLevel="0" collapsed="false">
      <c r="A56" s="6" t="s">
        <v>2263</v>
      </c>
      <c r="B56" s="6" t="s">
        <v>2089</v>
      </c>
      <c r="C56" s="6" t="s">
        <v>2264</v>
      </c>
      <c r="D56" s="6" t="s">
        <v>2265</v>
      </c>
      <c r="E56" s="6" t="s">
        <v>2266</v>
      </c>
      <c r="F56" s="6" t="s">
        <v>32</v>
      </c>
    </row>
    <row r="57" customFormat="false" ht="15" hidden="false" customHeight="false" outlineLevel="0" collapsed="false">
      <c r="A57" s="6" t="s">
        <v>2267</v>
      </c>
      <c r="B57" s="6" t="s">
        <v>2089</v>
      </c>
      <c r="C57" s="6" t="s">
        <v>2268</v>
      </c>
      <c r="D57" s="6" t="s">
        <v>2269</v>
      </c>
      <c r="E57" s="6" t="s">
        <v>1269</v>
      </c>
      <c r="F57" s="6" t="s">
        <v>32</v>
      </c>
    </row>
    <row r="58" customFormat="false" ht="46.25" hidden="false" customHeight="false" outlineLevel="0" collapsed="false">
      <c r="A58" s="6" t="s">
        <v>2270</v>
      </c>
      <c r="B58" s="6" t="s">
        <v>2089</v>
      </c>
      <c r="C58" s="6" t="s">
        <v>2271</v>
      </c>
      <c r="D58" s="6" t="s">
        <v>2272</v>
      </c>
      <c r="E58" s="6" t="s">
        <v>2273</v>
      </c>
      <c r="F58" s="6" t="s">
        <v>32</v>
      </c>
    </row>
    <row r="59" customFormat="false" ht="15" hidden="false" customHeight="false" outlineLevel="0" collapsed="false">
      <c r="A59" s="6"/>
      <c r="B59" s="6"/>
      <c r="C59" s="6"/>
      <c r="D59" s="6"/>
      <c r="E59" s="6"/>
      <c r="F59" s="6"/>
    </row>
    <row r="60" customFormat="false" ht="15" hidden="false" customHeight="false" outlineLevel="0" collapsed="false">
      <c r="A60" s="6"/>
      <c r="B60" s="6"/>
      <c r="C60" s="6"/>
      <c r="D60" s="6"/>
      <c r="E60" s="6"/>
      <c r="F60" s="6"/>
    </row>
    <row r="61" customFormat="false" ht="15" hidden="false" customHeight="false" outlineLevel="0" collapsed="false">
      <c r="A61" s="6"/>
      <c r="B61" s="6"/>
      <c r="C61" s="6"/>
      <c r="D61" s="6"/>
      <c r="E61" s="6"/>
      <c r="F61" s="6"/>
    </row>
    <row r="62" customFormat="false" ht="15" hidden="false" customHeight="false" outlineLevel="0" collapsed="false">
      <c r="A62" s="6"/>
      <c r="B62" s="6"/>
      <c r="C62" s="6"/>
      <c r="D62" s="6"/>
      <c r="E62" s="6"/>
      <c r="F62" s="6"/>
    </row>
    <row r="63" customFormat="false" ht="15" hidden="false" customHeight="false" outlineLevel="0" collapsed="false">
      <c r="A63" s="6"/>
      <c r="B63" s="6"/>
      <c r="C63" s="6"/>
      <c r="D63" s="6"/>
      <c r="E63" s="6"/>
      <c r="F63" s="6"/>
    </row>
    <row r="64" customFormat="false" ht="15" hidden="false" customHeight="false" outlineLevel="0" collapsed="false">
      <c r="A64" s="6"/>
      <c r="B64" s="6"/>
      <c r="C64" s="6"/>
      <c r="D64" s="6"/>
      <c r="E64" s="6"/>
      <c r="F64" s="6"/>
    </row>
  </sheetData>
  <autoFilter ref="A5:F64"/>
  <conditionalFormatting sqref="F6:F64">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F6:F64"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62626"/>
    <pageSetUpPr fitToPage="true"/>
  </sheetPr>
  <dimension ref="A1:G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2"/>
    <col collapsed="false" customWidth="true" hidden="false" outlineLevel="0" max="4" min="4" style="0" width="40"/>
    <col collapsed="false" customWidth="true" hidden="false" outlineLevel="0" max="5" min="5" style="0" width="10"/>
    <col collapsed="false" customWidth="true" hidden="false" outlineLevel="0" max="6" min="6" style="0" width="14"/>
    <col collapsed="false" customWidth="true" hidden="false" outlineLevel="0" max="7" min="7" style="0" width="13"/>
  </cols>
  <sheetData>
    <row r="1" customFormat="false" ht="17.35" hidden="false" customHeight="false" outlineLevel="0" collapsed="false">
      <c r="A1" s="1" t="s">
        <v>2274</v>
      </c>
    </row>
    <row r="2" customFormat="false" ht="15" hidden="false" customHeight="false" outlineLevel="0" collapsed="false">
      <c r="A2" s="2" t="s">
        <v>2275</v>
      </c>
    </row>
    <row r="3" customFormat="false" ht="15" hidden="false" customHeight="false" outlineLevel="0" collapsed="false">
      <c r="A3" s="3" t="str">
        <f aca="false">HYPERLINK("#'0 Index'!A1","↩ Index")</f>
        <v>↩ Index</v>
      </c>
    </row>
    <row r="5" customFormat="false" ht="15" hidden="false" customHeight="false" outlineLevel="0" collapsed="false">
      <c r="A5" s="59" t="s">
        <v>2276</v>
      </c>
      <c r="B5" s="59"/>
      <c r="C5" s="59"/>
      <c r="D5" s="59"/>
      <c r="E5" s="59"/>
      <c r="F5" s="59"/>
      <c r="G5" s="59"/>
    </row>
    <row r="6" customFormat="false" ht="15" hidden="false" customHeight="false" outlineLevel="0" collapsed="false">
      <c r="A6" s="60" t="s">
        <v>89</v>
      </c>
      <c r="B6" s="60" t="s">
        <v>1224</v>
      </c>
      <c r="C6" s="60" t="s">
        <v>2277</v>
      </c>
      <c r="D6" s="60" t="s">
        <v>240</v>
      </c>
      <c r="E6" s="60" t="s">
        <v>79</v>
      </c>
      <c r="F6" s="60" t="s">
        <v>77</v>
      </c>
      <c r="G6" s="60" t="s">
        <v>75</v>
      </c>
    </row>
    <row r="7" customFormat="false" ht="15" hidden="false" customHeight="false" outlineLevel="0" collapsed="false">
      <c r="A7" s="6" t="s">
        <v>2102</v>
      </c>
      <c r="B7" s="6" t="s">
        <v>2278</v>
      </c>
      <c r="C7" s="6" t="s">
        <v>2279</v>
      </c>
      <c r="D7" s="6"/>
      <c r="E7" s="6" t="s">
        <v>163</v>
      </c>
      <c r="F7" s="6" t="s">
        <v>2280</v>
      </c>
      <c r="G7" s="6" t="s">
        <v>32</v>
      </c>
    </row>
    <row r="8" customFormat="false" ht="23.85" hidden="false" customHeight="false" outlineLevel="0" collapsed="false">
      <c r="A8" s="6" t="s">
        <v>2281</v>
      </c>
      <c r="B8" s="6" t="s">
        <v>6</v>
      </c>
      <c r="C8" s="6" t="s">
        <v>2282</v>
      </c>
      <c r="D8" s="6" t="s">
        <v>2283</v>
      </c>
      <c r="E8" s="6"/>
      <c r="F8" s="6" t="s">
        <v>2284</v>
      </c>
      <c r="G8" s="6" t="s">
        <v>32</v>
      </c>
    </row>
    <row r="9" customFormat="false" ht="15" hidden="false" customHeight="false" outlineLevel="0" collapsed="false">
      <c r="A9" s="6" t="s">
        <v>2285</v>
      </c>
      <c r="B9" s="6" t="s">
        <v>2286</v>
      </c>
      <c r="C9" s="6" t="s">
        <v>2287</v>
      </c>
      <c r="D9" s="6"/>
      <c r="E9" s="6"/>
      <c r="F9" s="6" t="s">
        <v>2288</v>
      </c>
      <c r="G9" s="6" t="s">
        <v>32</v>
      </c>
    </row>
    <row r="10" customFormat="false" ht="35.05" hidden="false" customHeight="false" outlineLevel="0" collapsed="false">
      <c r="A10" s="6" t="s">
        <v>2289</v>
      </c>
      <c r="B10" s="6" t="s">
        <v>2039</v>
      </c>
      <c r="C10" s="6" t="s">
        <v>2290</v>
      </c>
      <c r="D10" s="6" t="s">
        <v>2291</v>
      </c>
      <c r="E10" s="6" t="s">
        <v>2038</v>
      </c>
      <c r="F10" s="6" t="s">
        <v>2292</v>
      </c>
      <c r="G10" s="6" t="s">
        <v>32</v>
      </c>
    </row>
    <row r="11" customFormat="false" ht="15" hidden="false" customHeight="false" outlineLevel="0" collapsed="false">
      <c r="A11" s="6" t="s">
        <v>2293</v>
      </c>
      <c r="B11" s="6" t="s">
        <v>2294</v>
      </c>
      <c r="C11" s="6" t="s">
        <v>2295</v>
      </c>
      <c r="D11" s="6" t="s">
        <v>2296</v>
      </c>
      <c r="E11" s="6"/>
      <c r="F11" s="6" t="s">
        <v>104</v>
      </c>
      <c r="G11" s="6" t="s">
        <v>33</v>
      </c>
    </row>
    <row r="12" customFormat="false" ht="23.85" hidden="false" customHeight="false" outlineLevel="0" collapsed="false">
      <c r="A12" s="6" t="s">
        <v>2124</v>
      </c>
      <c r="B12" s="6" t="s">
        <v>2297</v>
      </c>
      <c r="C12" s="6" t="s">
        <v>2298</v>
      </c>
      <c r="D12" s="6"/>
      <c r="E12" s="6"/>
      <c r="F12" s="6" t="s">
        <v>2299</v>
      </c>
      <c r="G12" s="6" t="s">
        <v>32</v>
      </c>
    </row>
    <row r="13" customFormat="false" ht="15" hidden="false" customHeight="false" outlineLevel="0" collapsed="false">
      <c r="A13" s="6"/>
      <c r="B13" s="6"/>
      <c r="C13" s="6"/>
      <c r="D13" s="6"/>
      <c r="E13" s="6"/>
      <c r="F13" s="6"/>
      <c r="G13" s="6"/>
    </row>
    <row r="15" customFormat="false" ht="15" hidden="false" customHeight="false" outlineLevel="0" collapsed="false">
      <c r="A15" s="59" t="s">
        <v>2300</v>
      </c>
      <c r="B15" s="59"/>
      <c r="C15" s="59"/>
      <c r="D15" s="59"/>
      <c r="E15" s="59"/>
      <c r="F15" s="59"/>
      <c r="G15" s="59"/>
    </row>
    <row r="16" customFormat="false" ht="15" hidden="false" customHeight="false" outlineLevel="0" collapsed="false">
      <c r="A16" s="60" t="s">
        <v>89</v>
      </c>
      <c r="B16" s="60" t="s">
        <v>1224</v>
      </c>
      <c r="C16" s="60" t="s">
        <v>2277</v>
      </c>
      <c r="D16" s="60" t="s">
        <v>240</v>
      </c>
      <c r="E16" s="60" t="s">
        <v>79</v>
      </c>
      <c r="F16" s="60" t="s">
        <v>77</v>
      </c>
      <c r="G16" s="60" t="s">
        <v>75</v>
      </c>
    </row>
    <row r="17" customFormat="false" ht="15" hidden="false" customHeight="false" outlineLevel="0" collapsed="false">
      <c r="A17" s="6" t="s">
        <v>2301</v>
      </c>
      <c r="B17" s="6" t="s">
        <v>2302</v>
      </c>
      <c r="C17" s="6" t="s">
        <v>10</v>
      </c>
      <c r="D17" s="6" t="s">
        <v>2303</v>
      </c>
      <c r="E17" s="6"/>
      <c r="F17" s="6" t="s">
        <v>11</v>
      </c>
      <c r="G17" s="6" t="s">
        <v>32</v>
      </c>
    </row>
    <row r="18" customFormat="false" ht="15" hidden="false" customHeight="false" outlineLevel="0" collapsed="false">
      <c r="A18" s="6" t="s">
        <v>2304</v>
      </c>
      <c r="B18" s="6" t="s">
        <v>2305</v>
      </c>
      <c r="C18" s="6" t="s">
        <v>2306</v>
      </c>
      <c r="D18" s="6"/>
      <c r="E18" s="6"/>
      <c r="F18" s="6" t="s">
        <v>14</v>
      </c>
      <c r="G18" s="6" t="s">
        <v>32</v>
      </c>
    </row>
    <row r="19" customFormat="false" ht="15" hidden="false" customHeight="false" outlineLevel="0" collapsed="false">
      <c r="A19" s="6" t="s">
        <v>2307</v>
      </c>
      <c r="B19" s="6" t="s">
        <v>2308</v>
      </c>
      <c r="C19" s="6" t="s">
        <v>2309</v>
      </c>
      <c r="D19" s="6"/>
      <c r="E19" s="6"/>
      <c r="F19" s="6" t="s">
        <v>14</v>
      </c>
      <c r="G19" s="6" t="s">
        <v>32</v>
      </c>
    </row>
    <row r="20" customFormat="false" ht="15" hidden="false" customHeight="false" outlineLevel="0" collapsed="false">
      <c r="A20" s="6" t="s">
        <v>2310</v>
      </c>
      <c r="B20" s="6" t="s">
        <v>2311</v>
      </c>
      <c r="C20" s="6" t="s">
        <v>2312</v>
      </c>
      <c r="D20" s="6"/>
      <c r="E20" s="6"/>
      <c r="F20" s="6" t="s">
        <v>2</v>
      </c>
      <c r="G20" s="6" t="s">
        <v>32</v>
      </c>
    </row>
    <row r="21" customFormat="false" ht="23.85" hidden="false" customHeight="false" outlineLevel="0" collapsed="false">
      <c r="A21" s="6" t="s">
        <v>2313</v>
      </c>
      <c r="B21" s="6" t="s">
        <v>2314</v>
      </c>
      <c r="C21" s="6" t="s">
        <v>2315</v>
      </c>
      <c r="D21" s="6"/>
      <c r="E21" s="6" t="s">
        <v>231</v>
      </c>
      <c r="F21" s="6" t="s">
        <v>2316</v>
      </c>
      <c r="G21" s="6" t="s">
        <v>33</v>
      </c>
    </row>
    <row r="22" customFormat="false" ht="15" hidden="false" customHeight="false" outlineLevel="0" collapsed="false">
      <c r="A22" s="6" t="s">
        <v>2317</v>
      </c>
      <c r="B22" s="6" t="s">
        <v>2318</v>
      </c>
      <c r="C22" s="6" t="s">
        <v>2319</v>
      </c>
      <c r="D22" s="6"/>
      <c r="E22" s="6"/>
      <c r="F22" s="6" t="s">
        <v>2</v>
      </c>
      <c r="G22" s="6" t="s">
        <v>32</v>
      </c>
    </row>
    <row r="23" customFormat="false" ht="15" hidden="false" customHeight="false" outlineLevel="0" collapsed="false">
      <c r="A23" s="6" t="s">
        <v>2320</v>
      </c>
      <c r="B23" s="6" t="s">
        <v>2321</v>
      </c>
      <c r="C23" s="6" t="s">
        <v>2322</v>
      </c>
      <c r="D23" s="6"/>
      <c r="E23" s="6" t="s">
        <v>2043</v>
      </c>
      <c r="F23" s="6" t="s">
        <v>2323</v>
      </c>
      <c r="G23" s="6" t="s">
        <v>32</v>
      </c>
    </row>
    <row r="24" customFormat="false" ht="15" hidden="false" customHeight="false" outlineLevel="0" collapsed="false">
      <c r="A24" s="6"/>
      <c r="B24" s="6"/>
      <c r="C24" s="6"/>
      <c r="D24" s="6"/>
      <c r="E24" s="6"/>
      <c r="F24" s="6"/>
      <c r="G24" s="6"/>
    </row>
    <row r="26" customFormat="false" ht="15" hidden="false" customHeight="false" outlineLevel="0" collapsed="false">
      <c r="A26" s="59" t="s">
        <v>2324</v>
      </c>
      <c r="B26" s="59"/>
      <c r="C26" s="59"/>
      <c r="D26" s="59"/>
      <c r="E26" s="59"/>
      <c r="F26" s="59"/>
      <c r="G26" s="59"/>
    </row>
    <row r="27" customFormat="false" ht="15" hidden="false" customHeight="false" outlineLevel="0" collapsed="false">
      <c r="A27" s="60" t="s">
        <v>89</v>
      </c>
      <c r="B27" s="60" t="s">
        <v>1224</v>
      </c>
      <c r="C27" s="60" t="s">
        <v>2277</v>
      </c>
      <c r="D27" s="60" t="s">
        <v>240</v>
      </c>
      <c r="E27" s="60" t="s">
        <v>79</v>
      </c>
      <c r="F27" s="60" t="s">
        <v>77</v>
      </c>
      <c r="G27" s="60" t="s">
        <v>75</v>
      </c>
    </row>
    <row r="28" customFormat="false" ht="15" hidden="false" customHeight="false" outlineLevel="0" collapsed="false">
      <c r="A28" s="6" t="s">
        <v>2110</v>
      </c>
      <c r="B28" s="6" t="s">
        <v>15</v>
      </c>
      <c r="C28" s="6" t="s">
        <v>2325</v>
      </c>
      <c r="D28" s="6"/>
      <c r="E28" s="6"/>
      <c r="F28" s="6" t="s">
        <v>2326</v>
      </c>
      <c r="G28" s="6" t="s">
        <v>32</v>
      </c>
    </row>
    <row r="29" customFormat="false" ht="15" hidden="false" customHeight="false" outlineLevel="0" collapsed="false">
      <c r="A29" s="6" t="s">
        <v>2327</v>
      </c>
      <c r="B29" s="6" t="s">
        <v>2328</v>
      </c>
      <c r="C29" s="6" t="s">
        <v>2329</v>
      </c>
      <c r="D29" s="6"/>
      <c r="E29" s="6" t="s">
        <v>2043</v>
      </c>
      <c r="F29" s="6" t="s">
        <v>2323</v>
      </c>
      <c r="G29" s="6" t="s">
        <v>32</v>
      </c>
    </row>
    <row r="30" customFormat="false" ht="35.05" hidden="false" customHeight="false" outlineLevel="0" collapsed="false">
      <c r="A30" s="6" t="s">
        <v>2330</v>
      </c>
      <c r="B30" s="6" t="s">
        <v>2331</v>
      </c>
      <c r="C30" s="6" t="s">
        <v>2332</v>
      </c>
      <c r="D30" s="6" t="s">
        <v>2333</v>
      </c>
      <c r="E30" s="6" t="s">
        <v>237</v>
      </c>
      <c r="F30" s="6" t="s">
        <v>2334</v>
      </c>
      <c r="G30" s="6" t="s">
        <v>33</v>
      </c>
    </row>
    <row r="31" customFormat="false" ht="15" hidden="false" customHeight="false" outlineLevel="0" collapsed="false">
      <c r="A31" s="6" t="s">
        <v>2335</v>
      </c>
      <c r="B31" s="6" t="s">
        <v>2336</v>
      </c>
      <c r="C31" s="6" t="s">
        <v>2337</v>
      </c>
      <c r="D31" s="6"/>
      <c r="E31" s="6" t="s">
        <v>2043</v>
      </c>
      <c r="F31" s="6" t="s">
        <v>2323</v>
      </c>
      <c r="G31" s="6" t="s">
        <v>32</v>
      </c>
    </row>
    <row r="32" customFormat="false" ht="15" hidden="false" customHeight="false" outlineLevel="0" collapsed="false">
      <c r="A32" s="6" t="s">
        <v>2338</v>
      </c>
      <c r="B32" s="6" t="s">
        <v>2339</v>
      </c>
      <c r="C32" s="6" t="s">
        <v>2340</v>
      </c>
      <c r="D32" s="6"/>
      <c r="E32" s="6" t="s">
        <v>2043</v>
      </c>
      <c r="F32" s="6" t="s">
        <v>2323</v>
      </c>
      <c r="G32" s="6" t="s">
        <v>32</v>
      </c>
    </row>
    <row r="33" customFormat="false" ht="15" hidden="false" customHeight="false" outlineLevel="0" collapsed="false">
      <c r="A33" s="6" t="s">
        <v>2341</v>
      </c>
      <c r="B33" s="6" t="s">
        <v>2342</v>
      </c>
      <c r="C33" s="6" t="s">
        <v>2343</v>
      </c>
      <c r="D33" s="6"/>
      <c r="E33" s="6"/>
      <c r="F33" s="6" t="s">
        <v>104</v>
      </c>
      <c r="G33" s="6" t="s">
        <v>33</v>
      </c>
    </row>
    <row r="34" customFormat="false" ht="23.85" hidden="false" customHeight="false" outlineLevel="0" collapsed="false">
      <c r="A34" s="6" t="s">
        <v>2344</v>
      </c>
      <c r="B34" s="6" t="s">
        <v>2345</v>
      </c>
      <c r="C34" s="6" t="s">
        <v>2346</v>
      </c>
      <c r="D34" s="6"/>
      <c r="E34" s="6" t="s">
        <v>2043</v>
      </c>
      <c r="F34" s="6" t="s">
        <v>2323</v>
      </c>
      <c r="G34" s="6" t="s">
        <v>32</v>
      </c>
    </row>
    <row r="35" customFormat="false" ht="15" hidden="false" customHeight="false" outlineLevel="0" collapsed="false">
      <c r="A35" s="6" t="s">
        <v>2347</v>
      </c>
      <c r="B35" s="6" t="s">
        <v>2348</v>
      </c>
      <c r="C35" s="6" t="s">
        <v>2349</v>
      </c>
      <c r="D35" s="6"/>
      <c r="E35" s="6" t="s">
        <v>2043</v>
      </c>
      <c r="F35" s="6" t="s">
        <v>2323</v>
      </c>
      <c r="G35" s="6" t="s">
        <v>32</v>
      </c>
    </row>
    <row r="36" customFormat="false" ht="23.85" hidden="false" customHeight="false" outlineLevel="0" collapsed="false">
      <c r="A36" s="6" t="s">
        <v>2350</v>
      </c>
      <c r="B36" s="6" t="s">
        <v>2351</v>
      </c>
      <c r="C36" s="6" t="s">
        <v>2352</v>
      </c>
      <c r="D36" s="6"/>
      <c r="E36" s="6" t="s">
        <v>145</v>
      </c>
      <c r="F36" s="6" t="s">
        <v>2353</v>
      </c>
      <c r="G36" s="6" t="s">
        <v>33</v>
      </c>
    </row>
    <row r="37" customFormat="false" ht="23.85" hidden="false" customHeight="false" outlineLevel="0" collapsed="false">
      <c r="A37" s="6" t="s">
        <v>2354</v>
      </c>
      <c r="B37" s="6" t="s">
        <v>2355</v>
      </c>
      <c r="C37" s="6" t="s">
        <v>2356</v>
      </c>
      <c r="D37" s="6"/>
      <c r="E37" s="6" t="s">
        <v>2038</v>
      </c>
      <c r="F37" s="6" t="s">
        <v>104</v>
      </c>
      <c r="G37" s="6" t="s">
        <v>33</v>
      </c>
    </row>
    <row r="38" customFormat="false" ht="15" hidden="false" customHeight="false" outlineLevel="0" collapsed="false">
      <c r="A38" s="6"/>
      <c r="B38" s="6"/>
      <c r="C38" s="6"/>
      <c r="D38" s="6"/>
      <c r="E38" s="6"/>
      <c r="F38" s="6"/>
      <c r="G38" s="6"/>
    </row>
    <row r="39" customFormat="false" ht="15" hidden="false" customHeight="false" outlineLevel="0" collapsed="false">
      <c r="A39" s="6"/>
      <c r="B39" s="6"/>
      <c r="C39" s="6"/>
      <c r="D39" s="6"/>
      <c r="E39" s="6"/>
      <c r="F39" s="6"/>
      <c r="G39" s="6"/>
    </row>
    <row r="41" customFormat="false" ht="15" hidden="false" customHeight="false" outlineLevel="0" collapsed="false">
      <c r="A41" s="59" t="s">
        <v>2357</v>
      </c>
      <c r="B41" s="59"/>
      <c r="C41" s="59"/>
      <c r="D41" s="59"/>
      <c r="E41" s="59"/>
      <c r="F41" s="59"/>
      <c r="G41" s="59"/>
    </row>
    <row r="42" customFormat="false" ht="15" hidden="false" customHeight="true" outlineLevel="0" collapsed="false">
      <c r="A42" s="8" t="s">
        <v>2358</v>
      </c>
      <c r="B42" s="8"/>
      <c r="C42" s="8"/>
      <c r="D42" s="8"/>
      <c r="E42" s="8"/>
      <c r="F42" s="8"/>
      <c r="G42" s="8"/>
    </row>
    <row r="43" customFormat="false" ht="15" hidden="false" customHeight="false" outlineLevel="0" collapsed="false">
      <c r="A43" s="60" t="s">
        <v>89</v>
      </c>
      <c r="B43" s="60" t="s">
        <v>2359</v>
      </c>
      <c r="C43" s="60" t="s">
        <v>323</v>
      </c>
      <c r="D43" s="60" t="s">
        <v>240</v>
      </c>
      <c r="E43" s="60" t="s">
        <v>79</v>
      </c>
      <c r="F43" s="60" t="s">
        <v>77</v>
      </c>
      <c r="G43" s="60" t="s">
        <v>75</v>
      </c>
    </row>
    <row r="44" customFormat="false" ht="15" hidden="false" customHeight="false" outlineLevel="0" collapsed="false">
      <c r="A44" s="6" t="s">
        <v>2360</v>
      </c>
      <c r="B44" s="6" t="s">
        <v>2361</v>
      </c>
      <c r="C44" s="6" t="s">
        <v>2362</v>
      </c>
      <c r="D44" s="6"/>
      <c r="E44" s="6"/>
      <c r="F44" s="6" t="s">
        <v>2</v>
      </c>
      <c r="G44" s="6" t="s">
        <v>36</v>
      </c>
    </row>
    <row r="45" customFormat="false" ht="15" hidden="false" customHeight="false" outlineLevel="0" collapsed="false">
      <c r="A45" s="6" t="s">
        <v>2363</v>
      </c>
      <c r="B45" s="6" t="s">
        <v>2364</v>
      </c>
      <c r="C45" s="6" t="s">
        <v>2365</v>
      </c>
      <c r="D45" s="6"/>
      <c r="E45" s="6"/>
      <c r="F45" s="6" t="s">
        <v>2</v>
      </c>
      <c r="G45" s="6" t="s">
        <v>36</v>
      </c>
    </row>
    <row r="46" customFormat="false" ht="15" hidden="false" customHeight="false" outlineLevel="0" collapsed="false">
      <c r="A46" s="6" t="s">
        <v>2366</v>
      </c>
      <c r="B46" s="6" t="s">
        <v>2367</v>
      </c>
      <c r="C46" s="6" t="s">
        <v>2368</v>
      </c>
      <c r="D46" s="6"/>
      <c r="E46" s="6"/>
      <c r="F46" s="6" t="s">
        <v>2</v>
      </c>
      <c r="G46" s="6" t="s">
        <v>36</v>
      </c>
    </row>
    <row r="47" customFormat="false" ht="15" hidden="false" customHeight="false" outlineLevel="0" collapsed="false">
      <c r="A47" s="6" t="s">
        <v>2369</v>
      </c>
      <c r="B47" s="6" t="s">
        <v>2370</v>
      </c>
      <c r="C47" s="6" t="s">
        <v>2371</v>
      </c>
      <c r="D47" s="6"/>
      <c r="E47" s="6"/>
      <c r="F47" s="6" t="s">
        <v>2</v>
      </c>
      <c r="G47" s="6" t="s">
        <v>36</v>
      </c>
    </row>
    <row r="48" customFormat="false" ht="15" hidden="false" customHeight="false" outlineLevel="0" collapsed="false">
      <c r="A48" s="6" t="s">
        <v>2372</v>
      </c>
      <c r="B48" s="6" t="s">
        <v>2373</v>
      </c>
      <c r="C48" s="6" t="s">
        <v>2374</v>
      </c>
      <c r="D48" s="6"/>
      <c r="E48" s="6"/>
      <c r="F48" s="6" t="s">
        <v>2</v>
      </c>
      <c r="G48" s="6" t="s">
        <v>36</v>
      </c>
    </row>
    <row r="49" customFormat="false" ht="15" hidden="false" customHeight="false" outlineLevel="0" collapsed="false">
      <c r="A49" s="6" t="s">
        <v>2375</v>
      </c>
      <c r="B49" s="6" t="s">
        <v>2376</v>
      </c>
      <c r="C49" s="6" t="s">
        <v>2377</v>
      </c>
      <c r="D49" s="6"/>
      <c r="E49" s="6"/>
      <c r="F49" s="6" t="s">
        <v>2378</v>
      </c>
      <c r="G49" s="6" t="s">
        <v>36</v>
      </c>
    </row>
    <row r="50" customFormat="false" ht="23.85" hidden="false" customHeight="false" outlineLevel="0" collapsed="false">
      <c r="A50" s="6" t="s">
        <v>2379</v>
      </c>
      <c r="B50" s="6" t="s">
        <v>2380</v>
      </c>
      <c r="C50" s="6" t="s">
        <v>2381</v>
      </c>
      <c r="D50" s="6"/>
      <c r="E50" s="6"/>
      <c r="F50" s="6" t="s">
        <v>104</v>
      </c>
      <c r="G50" s="6" t="s">
        <v>33</v>
      </c>
    </row>
    <row r="51" customFormat="false" ht="15" hidden="false" customHeight="false" outlineLevel="0" collapsed="false">
      <c r="A51" s="6" t="s">
        <v>2382</v>
      </c>
      <c r="B51" s="6" t="s">
        <v>2383</v>
      </c>
      <c r="C51" s="6" t="s">
        <v>2384</v>
      </c>
      <c r="D51" s="6"/>
      <c r="E51" s="6"/>
      <c r="F51" s="6" t="s">
        <v>2</v>
      </c>
      <c r="G51" s="6" t="s">
        <v>36</v>
      </c>
    </row>
    <row r="52" customFormat="false" ht="15" hidden="false" customHeight="false" outlineLevel="0" collapsed="false">
      <c r="A52" s="6" t="s">
        <v>2385</v>
      </c>
      <c r="B52" s="6" t="s">
        <v>2386</v>
      </c>
      <c r="C52" s="6" t="s">
        <v>2387</v>
      </c>
      <c r="D52" s="6"/>
      <c r="E52" s="6" t="s">
        <v>2038</v>
      </c>
      <c r="F52" s="6" t="s">
        <v>2388</v>
      </c>
      <c r="G52" s="6" t="s">
        <v>36</v>
      </c>
    </row>
    <row r="53" customFormat="false" ht="46.25" hidden="false" customHeight="false" outlineLevel="0" collapsed="false">
      <c r="A53" s="6" t="s">
        <v>2389</v>
      </c>
      <c r="B53" s="6" t="s">
        <v>2390</v>
      </c>
      <c r="C53" s="6" t="s">
        <v>2391</v>
      </c>
      <c r="D53" s="6"/>
      <c r="E53" s="6"/>
      <c r="F53" s="6" t="s">
        <v>2392</v>
      </c>
      <c r="G53" s="6" t="s">
        <v>36</v>
      </c>
    </row>
    <row r="54" customFormat="false" ht="15" hidden="false" customHeight="false" outlineLevel="0" collapsed="false">
      <c r="A54" s="6"/>
      <c r="B54" s="6"/>
      <c r="C54" s="6"/>
      <c r="D54" s="6"/>
      <c r="E54" s="6"/>
      <c r="F54" s="6"/>
      <c r="G54" s="6"/>
    </row>
    <row r="55" customFormat="false" ht="15" hidden="false" customHeight="false" outlineLevel="0" collapsed="false">
      <c r="A55" s="6"/>
      <c r="B55" s="6"/>
      <c r="C55" s="6"/>
      <c r="D55" s="6"/>
      <c r="E55" s="6"/>
      <c r="F55" s="6"/>
      <c r="G55" s="6"/>
    </row>
  </sheetData>
  <autoFilter ref="A6:G13"/>
  <mergeCells count="5">
    <mergeCell ref="A5:G5"/>
    <mergeCell ref="A15:G15"/>
    <mergeCell ref="A26:G26"/>
    <mergeCell ref="A41:G41"/>
    <mergeCell ref="A42:G42"/>
  </mergeCells>
  <conditionalFormatting sqref="G7:G13">
    <cfRule type="cellIs" priority="2" operator="equal" aboveAverage="0" equalAverage="0" bottom="0" percent="0" rank="0" text="" dxfId="9">
      <formula>"Agreed"</formula>
    </cfRule>
    <cfRule type="cellIs" priority="3" operator="equal" aboveAverage="0" equalAverage="0" bottom="0" percent="0" rank="0" text="" dxfId="10">
      <formula>"Proposed"</formula>
    </cfRule>
    <cfRule type="cellIs" priority="4" operator="equal" aboveAverage="0" equalAverage="0" bottom="0" percent="0" rank="0" text="" dxfId="11">
      <formula>"Draft"</formula>
    </cfRule>
    <cfRule type="cellIs" priority="5" operator="equal" aboveAverage="0" equalAverage="0" bottom="0" percent="0" rank="0" text="" dxfId="12">
      <formula>"Needs detail"</formula>
    </cfRule>
    <cfRule type="cellIs" priority="6" operator="equal" aboveAverage="0" equalAverage="0" bottom="0" percent="0" rank="0" text="" dxfId="13">
      <formula>"Not started"</formula>
    </cfRule>
  </conditionalFormatting>
  <conditionalFormatting sqref="G17:G24">
    <cfRule type="cellIs" priority="7" operator="equal" aboveAverage="0" equalAverage="0" bottom="0" percent="0" rank="0" text="" dxfId="9">
      <formula>"Agreed"</formula>
    </cfRule>
    <cfRule type="cellIs" priority="8" operator="equal" aboveAverage="0" equalAverage="0" bottom="0" percent="0" rank="0" text="" dxfId="10">
      <formula>"Proposed"</formula>
    </cfRule>
    <cfRule type="cellIs" priority="9" operator="equal" aboveAverage="0" equalAverage="0" bottom="0" percent="0" rank="0" text="" dxfId="11">
      <formula>"Draft"</formula>
    </cfRule>
    <cfRule type="cellIs" priority="10" operator="equal" aboveAverage="0" equalAverage="0" bottom="0" percent="0" rank="0" text="" dxfId="12">
      <formula>"Needs detail"</formula>
    </cfRule>
    <cfRule type="cellIs" priority="11" operator="equal" aboveAverage="0" equalAverage="0" bottom="0" percent="0" rank="0" text="" dxfId="13">
      <formula>"Not started"</formula>
    </cfRule>
  </conditionalFormatting>
  <conditionalFormatting sqref="G28:G39">
    <cfRule type="cellIs" priority="12" operator="equal" aboveAverage="0" equalAverage="0" bottom="0" percent="0" rank="0" text="" dxfId="9">
      <formula>"Agreed"</formula>
    </cfRule>
    <cfRule type="cellIs" priority="13" operator="equal" aboveAverage="0" equalAverage="0" bottom="0" percent="0" rank="0" text="" dxfId="10">
      <formula>"Proposed"</formula>
    </cfRule>
    <cfRule type="cellIs" priority="14" operator="equal" aboveAverage="0" equalAverage="0" bottom="0" percent="0" rank="0" text="" dxfId="11">
      <formula>"Draft"</formula>
    </cfRule>
    <cfRule type="cellIs" priority="15" operator="equal" aboveAverage="0" equalAverage="0" bottom="0" percent="0" rank="0" text="" dxfId="12">
      <formula>"Needs detail"</formula>
    </cfRule>
    <cfRule type="cellIs" priority="16" operator="equal" aboveAverage="0" equalAverage="0" bottom="0" percent="0" rank="0" text="" dxfId="13">
      <formula>"Not started"</formula>
    </cfRule>
  </conditionalFormatting>
  <conditionalFormatting sqref="G44:G55">
    <cfRule type="cellIs" priority="17" operator="equal" aboveAverage="0" equalAverage="0" bottom="0" percent="0" rank="0" text="" dxfId="9">
      <formula>"Agreed"</formula>
    </cfRule>
    <cfRule type="cellIs" priority="18" operator="equal" aboveAverage="0" equalAverage="0" bottom="0" percent="0" rank="0" text="" dxfId="10">
      <formula>"Proposed"</formula>
    </cfRule>
    <cfRule type="cellIs" priority="19" operator="equal" aboveAverage="0" equalAverage="0" bottom="0" percent="0" rank="0" text="" dxfId="11">
      <formula>"Draft"</formula>
    </cfRule>
    <cfRule type="cellIs" priority="20" operator="equal" aboveAverage="0" equalAverage="0" bottom="0" percent="0" rank="0" text="" dxfId="12">
      <formula>"Needs detail"</formula>
    </cfRule>
    <cfRule type="cellIs" priority="21" operator="equal" aboveAverage="0" equalAverage="0" bottom="0" percent="0" rank="0" text="" dxfId="13">
      <formula>"Not started"</formula>
    </cfRule>
  </conditionalFormatting>
  <dataValidations count="1">
    <dataValidation allowBlank="true" errorStyle="stop" operator="between" showDropDown="false" showErrorMessage="false" showInputMessage="false" sqref="G7:G13 G17:G24 G28:G39 G44:G55" type="list">
      <formula1>"Agreed,Proposed,Draft,Needs detail,Not started"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B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0"/>
  </cols>
  <sheetData>
    <row r="1" customFormat="false" ht="17.35" hidden="false" customHeight="false" outlineLevel="0" collapsed="false">
      <c r="A1" s="1" t="s">
        <v>2393</v>
      </c>
    </row>
    <row r="2" customFormat="false" ht="15" hidden="false" customHeight="false" outlineLevel="0" collapsed="false">
      <c r="A2" s="2" t="s">
        <v>2394</v>
      </c>
    </row>
    <row r="3" customFormat="false" ht="15" hidden="false" customHeight="false" outlineLevel="0" collapsed="false">
      <c r="A3" s="3" t="str">
        <f aca="false">HYPERLINK("#'0 Index'!A1","↩ Index")</f>
        <v>↩ Index</v>
      </c>
    </row>
    <row r="5" customFormat="false" ht="15" hidden="false" customHeight="false" outlineLevel="0" collapsed="false">
      <c r="A5" s="61" t="s">
        <v>2395</v>
      </c>
      <c r="B5" s="61" t="s">
        <v>2396</v>
      </c>
    </row>
    <row r="6" customFormat="false" ht="15" hidden="false" customHeight="false" outlineLevel="0" collapsed="false">
      <c r="A6" s="62" t="n">
        <v>1</v>
      </c>
      <c r="B6" s="63" t="s">
        <v>2397</v>
      </c>
    </row>
    <row r="7" customFormat="false" ht="15" hidden="false" customHeight="false" outlineLevel="0" collapsed="false">
      <c r="A7" s="62" t="n">
        <v>3</v>
      </c>
      <c r="B7" s="64" t="s">
        <v>2398</v>
      </c>
    </row>
    <row r="8" customFormat="false" ht="15" hidden="false" customHeight="false" outlineLevel="0" collapsed="false">
      <c r="A8" s="62" t="n">
        <v>4</v>
      </c>
      <c r="B8" s="64" t="s">
        <v>2399</v>
      </c>
    </row>
    <row r="9" customFormat="false" ht="15" hidden="false" customHeight="false" outlineLevel="0" collapsed="false">
      <c r="A9" s="62" t="n">
        <v>6</v>
      </c>
      <c r="B9" s="63" t="s">
        <v>323</v>
      </c>
    </row>
    <row r="10" customFormat="false" ht="15" hidden="false" customHeight="false" outlineLevel="0" collapsed="false">
      <c r="A10" s="62" t="n">
        <v>8</v>
      </c>
      <c r="B10" s="64" t="s">
        <v>2400</v>
      </c>
    </row>
    <row r="11" customFormat="false" ht="15" hidden="false" customHeight="false" outlineLevel="0" collapsed="false">
      <c r="A11" s="62" t="n">
        <v>9</v>
      </c>
      <c r="B11" s="64" t="s">
        <v>2401</v>
      </c>
    </row>
    <row r="12" customFormat="false" ht="15" hidden="false" customHeight="false" outlineLevel="0" collapsed="false">
      <c r="A12" s="62" t="n">
        <v>10</v>
      </c>
      <c r="B12" s="64" t="s">
        <v>2402</v>
      </c>
    </row>
    <row r="13" customFormat="false" ht="15" hidden="false" customHeight="false" outlineLevel="0" collapsed="false">
      <c r="A13" s="62" t="n">
        <v>11</v>
      </c>
      <c r="B13" s="64" t="s">
        <v>2403</v>
      </c>
    </row>
    <row r="14" customFormat="false" ht="35.05" hidden="false" customHeight="false" outlineLevel="0" collapsed="false">
      <c r="A14" s="62" t="n">
        <v>12</v>
      </c>
      <c r="B14" s="64" t="s">
        <v>2404</v>
      </c>
    </row>
    <row r="15" customFormat="false" ht="15" hidden="false" customHeight="false" outlineLevel="0" collapsed="false">
      <c r="A15" s="62" t="n">
        <v>13</v>
      </c>
      <c r="B15" s="64" t="s">
        <v>2405</v>
      </c>
    </row>
    <row r="16" customFormat="false" ht="15" hidden="false" customHeight="false" outlineLevel="0" collapsed="false">
      <c r="A16" s="62" t="n">
        <v>15</v>
      </c>
      <c r="B16" s="63" t="s">
        <v>2406</v>
      </c>
    </row>
    <row r="17" customFormat="false" ht="15" hidden="false" customHeight="false" outlineLevel="0" collapsed="false">
      <c r="A17" s="62" t="n">
        <v>17</v>
      </c>
      <c r="B17" s="64" t="s">
        <v>2407</v>
      </c>
    </row>
    <row r="18" customFormat="false" ht="15" hidden="false" customHeight="false" outlineLevel="0" collapsed="false">
      <c r="A18" s="62" t="n">
        <v>18</v>
      </c>
      <c r="B18" s="64" t="s">
        <v>2408</v>
      </c>
    </row>
    <row r="19" customFormat="false" ht="15" hidden="false" customHeight="false" outlineLevel="0" collapsed="false">
      <c r="A19" s="62" t="n">
        <v>19</v>
      </c>
      <c r="B19" s="64" t="s">
        <v>2409</v>
      </c>
    </row>
    <row r="20" customFormat="false" ht="15" hidden="false" customHeight="false" outlineLevel="0" collapsed="false">
      <c r="A20" s="62" t="n">
        <v>21</v>
      </c>
      <c r="B20" s="64" t="s">
        <v>2410</v>
      </c>
    </row>
    <row r="21" customFormat="false" ht="15" hidden="false" customHeight="false" outlineLevel="0" collapsed="false">
      <c r="A21" s="62" t="n">
        <v>22</v>
      </c>
      <c r="B21" s="64" t="s">
        <v>2411</v>
      </c>
    </row>
    <row r="22" customFormat="false" ht="15" hidden="false" customHeight="false" outlineLevel="0" collapsed="false">
      <c r="A22" s="62" t="n">
        <v>23</v>
      </c>
      <c r="B22" s="64" t="s">
        <v>2412</v>
      </c>
    </row>
    <row r="23" customFormat="false" ht="15" hidden="false" customHeight="false" outlineLevel="0" collapsed="false">
      <c r="A23" s="62" t="n">
        <v>26</v>
      </c>
      <c r="B23" s="63" t="s">
        <v>2413</v>
      </c>
    </row>
    <row r="24" customFormat="false" ht="15" hidden="false" customHeight="false" outlineLevel="0" collapsed="false">
      <c r="A24" s="62" t="n">
        <v>28</v>
      </c>
      <c r="B24" s="64" t="s">
        <v>2414</v>
      </c>
    </row>
    <row r="25" customFormat="false" ht="15" hidden="false" customHeight="false" outlineLevel="0" collapsed="false">
      <c r="A25" s="62" t="n">
        <v>30</v>
      </c>
      <c r="B25" s="64" t="s">
        <v>799</v>
      </c>
    </row>
    <row r="26" customFormat="false" ht="15" hidden="false" customHeight="false" outlineLevel="0" collapsed="false">
      <c r="A26" s="62" t="n">
        <v>31</v>
      </c>
      <c r="B26" s="64" t="s">
        <v>2415</v>
      </c>
    </row>
    <row r="27" customFormat="false" ht="15" hidden="false" customHeight="false" outlineLevel="0" collapsed="false">
      <c r="A27" s="62" t="n">
        <v>32</v>
      </c>
      <c r="B27" s="64" t="s">
        <v>2416</v>
      </c>
    </row>
    <row r="28" customFormat="false" ht="15" hidden="false" customHeight="false" outlineLevel="0" collapsed="false">
      <c r="A28" s="62" t="n">
        <v>34</v>
      </c>
      <c r="B28" s="64" t="s">
        <v>2417</v>
      </c>
    </row>
    <row r="29" customFormat="false" ht="15" hidden="false" customHeight="false" outlineLevel="0" collapsed="false">
      <c r="A29" s="62" t="n">
        <v>35</v>
      </c>
      <c r="B29" s="64" t="s">
        <v>2418</v>
      </c>
    </row>
    <row r="30" customFormat="false" ht="15" hidden="false" customHeight="false" outlineLevel="0" collapsed="false">
      <c r="A30" s="62" t="n">
        <v>36</v>
      </c>
      <c r="B30" s="64" t="s">
        <v>2419</v>
      </c>
    </row>
    <row r="31" customFormat="false" ht="15" hidden="false" customHeight="false" outlineLevel="0" collapsed="false">
      <c r="A31" s="62" t="n">
        <v>38</v>
      </c>
      <c r="B31" s="64" t="s">
        <v>2420</v>
      </c>
    </row>
    <row r="32" customFormat="false" ht="15" hidden="false" customHeight="false" outlineLevel="0" collapsed="false">
      <c r="A32" s="62" t="n">
        <v>39</v>
      </c>
      <c r="B32" s="64" t="s">
        <v>2421</v>
      </c>
    </row>
    <row r="33" customFormat="false" ht="15" hidden="false" customHeight="false" outlineLevel="0" collapsed="false">
      <c r="A33" s="62" t="n">
        <v>40</v>
      </c>
      <c r="B33" s="64" t="s">
        <v>2422</v>
      </c>
    </row>
    <row r="34" customFormat="false" ht="15" hidden="false" customHeight="false" outlineLevel="0" collapsed="false">
      <c r="A34" s="62" t="n">
        <v>42</v>
      </c>
      <c r="B34" s="64" t="s">
        <v>2423</v>
      </c>
    </row>
    <row r="35" customFormat="false" ht="15" hidden="false" customHeight="false" outlineLevel="0" collapsed="false">
      <c r="A35" s="62" t="n">
        <v>43</v>
      </c>
      <c r="B35" s="64" t="s">
        <v>2424</v>
      </c>
    </row>
    <row r="36" customFormat="false" ht="15" hidden="false" customHeight="false" outlineLevel="0" collapsed="false">
      <c r="A36" s="62" t="n">
        <v>44</v>
      </c>
      <c r="B36" s="64" t="s">
        <v>2425</v>
      </c>
    </row>
    <row r="37" customFormat="false" ht="15" hidden="false" customHeight="false" outlineLevel="0" collapsed="false">
      <c r="A37" s="62" t="n">
        <v>45</v>
      </c>
      <c r="B37" s="64" t="s">
        <v>2426</v>
      </c>
    </row>
    <row r="38" customFormat="false" ht="15" hidden="false" customHeight="false" outlineLevel="0" collapsed="false">
      <c r="A38" s="62" t="n">
        <v>46</v>
      </c>
      <c r="B38" s="64" t="s">
        <v>2427</v>
      </c>
    </row>
    <row r="39" customFormat="false" ht="15" hidden="false" customHeight="false" outlineLevel="0" collapsed="false">
      <c r="A39" s="62" t="n">
        <v>48</v>
      </c>
      <c r="B39" s="64" t="s">
        <v>2428</v>
      </c>
    </row>
    <row r="40" customFormat="false" ht="15" hidden="false" customHeight="false" outlineLevel="0" collapsed="false">
      <c r="A40" s="62" t="n">
        <v>49</v>
      </c>
      <c r="B40" s="64" t="s">
        <v>2429</v>
      </c>
    </row>
    <row r="41" customFormat="false" ht="15" hidden="false" customHeight="false" outlineLevel="0" collapsed="false">
      <c r="A41" s="62" t="n">
        <v>51</v>
      </c>
      <c r="B41" s="64" t="s">
        <v>2430</v>
      </c>
    </row>
    <row r="42" customFormat="false" ht="15" hidden="false" customHeight="false" outlineLevel="0" collapsed="false">
      <c r="A42" s="62" t="n">
        <v>52</v>
      </c>
      <c r="B42" s="64" t="s">
        <v>2431</v>
      </c>
    </row>
    <row r="43" customFormat="false" ht="15" hidden="false" customHeight="false" outlineLevel="0" collapsed="false">
      <c r="A43" s="62" t="n">
        <v>53</v>
      </c>
      <c r="B43" s="64" t="s">
        <v>2432</v>
      </c>
    </row>
    <row r="44" customFormat="false" ht="15" hidden="false" customHeight="false" outlineLevel="0" collapsed="false">
      <c r="A44" s="62" t="n">
        <v>54</v>
      </c>
      <c r="B44" s="64" t="s">
        <v>2433</v>
      </c>
    </row>
    <row r="45" customFormat="false" ht="15" hidden="false" customHeight="false" outlineLevel="0" collapsed="false">
      <c r="A45" s="62" t="n">
        <v>55</v>
      </c>
      <c r="B45" s="64" t="s">
        <v>2434</v>
      </c>
    </row>
    <row r="46" customFormat="false" ht="15" hidden="false" customHeight="false" outlineLevel="0" collapsed="false">
      <c r="A46" s="62" t="n">
        <v>56</v>
      </c>
      <c r="B46" s="64" t="s">
        <v>2435</v>
      </c>
    </row>
    <row r="47" customFormat="false" ht="15" hidden="false" customHeight="false" outlineLevel="0" collapsed="false">
      <c r="A47" s="62" t="n">
        <v>57</v>
      </c>
      <c r="B47" s="64" t="s">
        <v>2436</v>
      </c>
    </row>
    <row r="48" customFormat="false" ht="15" hidden="false" customHeight="false" outlineLevel="0" collapsed="false">
      <c r="A48" s="62" t="n">
        <v>58</v>
      </c>
      <c r="B48" s="64" t="s">
        <v>2437</v>
      </c>
    </row>
    <row r="49" customFormat="false" ht="15" hidden="false" customHeight="false" outlineLevel="0" collapsed="false">
      <c r="A49" s="62" t="n">
        <v>60</v>
      </c>
      <c r="B49" s="64" t="s">
        <v>2438</v>
      </c>
    </row>
    <row r="50" customFormat="false" ht="15" hidden="false" customHeight="false" outlineLevel="0" collapsed="false">
      <c r="A50" s="62" t="n">
        <v>61</v>
      </c>
      <c r="B50" s="64" t="s">
        <v>2439</v>
      </c>
    </row>
    <row r="51" customFormat="false" ht="15" hidden="false" customHeight="false" outlineLevel="0" collapsed="false">
      <c r="A51" s="62" t="n">
        <v>62</v>
      </c>
      <c r="B51" s="64" t="s">
        <v>2440</v>
      </c>
    </row>
    <row r="52" customFormat="false" ht="15" hidden="false" customHeight="false" outlineLevel="0" collapsed="false">
      <c r="A52" s="62" t="n">
        <v>64</v>
      </c>
      <c r="B52" s="64" t="s">
        <v>2441</v>
      </c>
    </row>
    <row r="53" customFormat="false" ht="15" hidden="false" customHeight="false" outlineLevel="0" collapsed="false">
      <c r="A53" s="62" t="n">
        <v>65</v>
      </c>
      <c r="B53" s="64" t="s">
        <v>2442</v>
      </c>
    </row>
    <row r="54" customFormat="false" ht="15" hidden="false" customHeight="false" outlineLevel="0" collapsed="false">
      <c r="A54" s="62" t="n">
        <v>66</v>
      </c>
      <c r="B54" s="64" t="s">
        <v>2443</v>
      </c>
    </row>
    <row r="55" customFormat="false" ht="15" hidden="false" customHeight="false" outlineLevel="0" collapsed="false">
      <c r="A55" s="62" t="n">
        <v>67</v>
      </c>
      <c r="B55" s="64" t="s">
        <v>2444</v>
      </c>
    </row>
    <row r="56" customFormat="false" ht="15" hidden="false" customHeight="false" outlineLevel="0" collapsed="false">
      <c r="A56" s="62" t="n">
        <v>68</v>
      </c>
      <c r="B56" s="64" t="s">
        <v>2445</v>
      </c>
    </row>
    <row r="57" customFormat="false" ht="15" hidden="false" customHeight="false" outlineLevel="0" collapsed="false">
      <c r="A57" s="62" t="n">
        <v>70</v>
      </c>
      <c r="B57" s="64" t="s">
        <v>2446</v>
      </c>
    </row>
    <row r="58" customFormat="false" ht="15" hidden="false" customHeight="false" outlineLevel="0" collapsed="false">
      <c r="A58" s="62" t="n">
        <v>71</v>
      </c>
      <c r="B58" s="64" t="s">
        <v>2447</v>
      </c>
    </row>
    <row r="59" customFormat="false" ht="15" hidden="false" customHeight="false" outlineLevel="0" collapsed="false">
      <c r="A59" s="62" t="n">
        <v>72</v>
      </c>
      <c r="B59" s="64" t="s">
        <v>2448</v>
      </c>
    </row>
    <row r="60" customFormat="false" ht="15" hidden="false" customHeight="false" outlineLevel="0" collapsed="false">
      <c r="A60" s="62" t="n">
        <v>74</v>
      </c>
      <c r="B60" s="64" t="s">
        <v>2449</v>
      </c>
    </row>
    <row r="61" customFormat="false" ht="15" hidden="false" customHeight="false" outlineLevel="0" collapsed="false">
      <c r="A61" s="62" t="n">
        <v>75</v>
      </c>
      <c r="B61" s="64" t="s">
        <v>2450</v>
      </c>
    </row>
    <row r="62" customFormat="false" ht="15" hidden="false" customHeight="false" outlineLevel="0" collapsed="false">
      <c r="A62" s="62" t="n">
        <v>76</v>
      </c>
      <c r="B62" s="64" t="s">
        <v>2451</v>
      </c>
    </row>
    <row r="63" customFormat="false" ht="15" hidden="false" customHeight="false" outlineLevel="0" collapsed="false">
      <c r="A63" s="62" t="n">
        <v>77</v>
      </c>
      <c r="B63" s="64" t="s">
        <v>2452</v>
      </c>
    </row>
    <row r="64" customFormat="false" ht="15" hidden="false" customHeight="false" outlineLevel="0" collapsed="false">
      <c r="A64" s="62" t="n">
        <v>79</v>
      </c>
      <c r="B64" s="64" t="s">
        <v>764</v>
      </c>
    </row>
    <row r="65" customFormat="false" ht="15" hidden="false" customHeight="false" outlineLevel="0" collapsed="false">
      <c r="A65" s="62" t="n">
        <v>80</v>
      </c>
      <c r="B65" s="64" t="s">
        <v>2453</v>
      </c>
    </row>
    <row r="66" customFormat="false" ht="15" hidden="false" customHeight="false" outlineLevel="0" collapsed="false">
      <c r="A66" s="62" t="n">
        <v>82</v>
      </c>
      <c r="B66" s="64" t="s">
        <v>2454</v>
      </c>
    </row>
    <row r="67" customFormat="false" ht="15" hidden="false" customHeight="false" outlineLevel="0" collapsed="false">
      <c r="A67" s="62" t="n">
        <v>83</v>
      </c>
      <c r="B67" s="64" t="s">
        <v>2455</v>
      </c>
    </row>
    <row r="68" customFormat="false" ht="23.85" hidden="false" customHeight="false" outlineLevel="0" collapsed="false">
      <c r="A68" s="62" t="n">
        <v>84</v>
      </c>
      <c r="B68" s="64" t="s">
        <v>2456</v>
      </c>
    </row>
    <row r="69" customFormat="false" ht="15" hidden="false" customHeight="false" outlineLevel="0" collapsed="false">
      <c r="A69" s="62" t="n">
        <v>86</v>
      </c>
      <c r="B69" s="64" t="s">
        <v>838</v>
      </c>
    </row>
    <row r="70" customFormat="false" ht="15" hidden="false" customHeight="false" outlineLevel="0" collapsed="false">
      <c r="A70" s="62" t="n">
        <v>87</v>
      </c>
      <c r="B70" s="64" t="s">
        <v>2457</v>
      </c>
    </row>
    <row r="71" customFormat="false" ht="15" hidden="false" customHeight="false" outlineLevel="0" collapsed="false">
      <c r="A71" s="62" t="n">
        <v>89</v>
      </c>
      <c r="B71" s="63" t="s">
        <v>56</v>
      </c>
    </row>
    <row r="72" customFormat="false" ht="15" hidden="false" customHeight="false" outlineLevel="0" collapsed="false">
      <c r="A72" s="62" t="n">
        <v>90</v>
      </c>
      <c r="B72" s="64" t="s">
        <v>2458</v>
      </c>
    </row>
    <row r="73" customFormat="false" ht="15" hidden="false" customHeight="false" outlineLevel="0" collapsed="false">
      <c r="A73" s="62" t="n">
        <v>91</v>
      </c>
      <c r="B73" s="64" t="s">
        <v>2459</v>
      </c>
    </row>
    <row r="74" customFormat="false" ht="15" hidden="false" customHeight="false" outlineLevel="0" collapsed="false">
      <c r="A74" s="62" t="n">
        <v>93</v>
      </c>
      <c r="B74" s="64" t="s">
        <v>2460</v>
      </c>
    </row>
    <row r="75" customFormat="false" ht="15" hidden="false" customHeight="false" outlineLevel="0" collapsed="false">
      <c r="A75" s="62" t="n">
        <v>94</v>
      </c>
      <c r="B75" s="64" t="s">
        <v>2461</v>
      </c>
    </row>
    <row r="76" customFormat="false" ht="15" hidden="false" customHeight="false" outlineLevel="0" collapsed="false">
      <c r="A76" s="62" t="n">
        <v>95</v>
      </c>
      <c r="B76" s="64" t="s">
        <v>2462</v>
      </c>
    </row>
    <row r="77" customFormat="false" ht="15" hidden="false" customHeight="false" outlineLevel="0" collapsed="false">
      <c r="A77" s="62" t="n">
        <v>97</v>
      </c>
      <c r="B77" s="64" t="s">
        <v>2463</v>
      </c>
    </row>
    <row r="78" customFormat="false" ht="15" hidden="false" customHeight="false" outlineLevel="0" collapsed="false">
      <c r="A78" s="62" t="n">
        <v>98</v>
      </c>
      <c r="B78" s="64" t="s">
        <v>2464</v>
      </c>
    </row>
    <row r="79" customFormat="false" ht="15" hidden="false" customHeight="false" outlineLevel="0" collapsed="false">
      <c r="A79" s="62" t="n">
        <v>99</v>
      </c>
      <c r="B79" s="64" t="s">
        <v>2465</v>
      </c>
    </row>
    <row r="80" customFormat="false" ht="15" hidden="false" customHeight="false" outlineLevel="0" collapsed="false">
      <c r="A80" s="62" t="n">
        <v>100</v>
      </c>
      <c r="B80" s="64" t="s">
        <v>2466</v>
      </c>
    </row>
    <row r="81" customFormat="false" ht="15" hidden="false" customHeight="false" outlineLevel="0" collapsed="false">
      <c r="A81" s="62" t="n">
        <v>102</v>
      </c>
      <c r="B81" s="64" t="s">
        <v>2467</v>
      </c>
    </row>
    <row r="82" customFormat="false" ht="15" hidden="false" customHeight="false" outlineLevel="0" collapsed="false">
      <c r="A82" s="62" t="n">
        <v>103</v>
      </c>
      <c r="B82" s="64" t="s">
        <v>2468</v>
      </c>
    </row>
    <row r="83" customFormat="false" ht="15" hidden="false" customHeight="false" outlineLevel="0" collapsed="false">
      <c r="A83" s="62" t="n">
        <v>105</v>
      </c>
      <c r="B83" s="64" t="s">
        <v>2469</v>
      </c>
    </row>
    <row r="84" customFormat="false" ht="15" hidden="false" customHeight="false" outlineLevel="0" collapsed="false">
      <c r="A84" s="62" t="n">
        <v>106</v>
      </c>
      <c r="B84" s="64" t="s">
        <v>2470</v>
      </c>
    </row>
    <row r="85" customFormat="false" ht="15" hidden="false" customHeight="false" outlineLevel="0" collapsed="false">
      <c r="A85" s="62" t="n">
        <v>107</v>
      </c>
      <c r="B85" s="64" t="s">
        <v>2471</v>
      </c>
    </row>
    <row r="86" customFormat="false" ht="15" hidden="false" customHeight="false" outlineLevel="0" collapsed="false">
      <c r="A86" s="62" t="n">
        <v>108</v>
      </c>
      <c r="B86" s="64" t="s">
        <v>2472</v>
      </c>
    </row>
    <row r="87" customFormat="false" ht="15" hidden="false" customHeight="false" outlineLevel="0" collapsed="false">
      <c r="A87" s="62" t="n">
        <v>110</v>
      </c>
      <c r="B87" s="64" t="s">
        <v>2473</v>
      </c>
    </row>
    <row r="88" customFormat="false" ht="23.85" hidden="false" customHeight="false" outlineLevel="0" collapsed="false">
      <c r="A88" s="62" t="n">
        <v>111</v>
      </c>
      <c r="B88" s="64" t="s">
        <v>2474</v>
      </c>
    </row>
    <row r="90" customFormat="false" ht="15" hidden="false" customHeight="false" outlineLevel="0" collapsed="false">
      <c r="A90" s="65" t="s">
        <v>2475</v>
      </c>
      <c r="B90" s="65"/>
    </row>
    <row r="91" customFormat="false" ht="15" hidden="false" customHeight="false" outlineLevel="0" collapsed="false">
      <c r="A91" s="62" t="s">
        <v>2476</v>
      </c>
      <c r="B91" s="64" t="s">
        <v>2477</v>
      </c>
    </row>
    <row r="92" customFormat="false" ht="15" hidden="false" customHeight="false" outlineLevel="0" collapsed="false">
      <c r="A92" s="62" t="s">
        <v>2478</v>
      </c>
      <c r="B92" s="64" t="s">
        <v>2479</v>
      </c>
    </row>
    <row r="93" customFormat="false" ht="15" hidden="false" customHeight="false" outlineLevel="0" collapsed="false">
      <c r="A93" s="62" t="s">
        <v>2480</v>
      </c>
      <c r="B93" s="64" t="s">
        <v>2481</v>
      </c>
    </row>
    <row r="94" customFormat="false" ht="23.85" hidden="false" customHeight="false" outlineLevel="0" collapsed="false">
      <c r="A94" s="62" t="s">
        <v>2482</v>
      </c>
      <c r="B94" s="64" t="s">
        <v>2483</v>
      </c>
    </row>
    <row r="95" customFormat="false" ht="15" hidden="false" customHeight="false" outlineLevel="0" collapsed="false">
      <c r="A95" s="62" t="s">
        <v>2484</v>
      </c>
      <c r="B95" s="64" t="s">
        <v>2485</v>
      </c>
    </row>
    <row r="96" customFormat="false" ht="15" hidden="false" customHeight="false" outlineLevel="0" collapsed="false">
      <c r="A96" s="62" t="s">
        <v>2486</v>
      </c>
      <c r="B96" s="64" t="s">
        <v>2487</v>
      </c>
    </row>
    <row r="97" customFormat="false" ht="15" hidden="false" customHeight="false" outlineLevel="0" collapsed="false">
      <c r="A97" s="62" t="s">
        <v>2488</v>
      </c>
      <c r="B97" s="64" t="s">
        <v>2489</v>
      </c>
    </row>
    <row r="98" customFormat="false" ht="15" hidden="false" customHeight="false" outlineLevel="0" collapsed="false">
      <c r="A98" s="62" t="s">
        <v>2490</v>
      </c>
      <c r="B98" s="64" t="s">
        <v>2491</v>
      </c>
    </row>
    <row r="99" customFormat="false" ht="15" hidden="false" customHeight="false" outlineLevel="0" collapsed="false">
      <c r="A99" s="62" t="s">
        <v>2492</v>
      </c>
      <c r="B99" s="64" t="s">
        <v>2493</v>
      </c>
    </row>
    <row r="100" customFormat="false" ht="15" hidden="false" customHeight="false" outlineLevel="0" collapsed="false">
      <c r="A100" s="62" t="s">
        <v>2494</v>
      </c>
      <c r="B100" s="64" t="s">
        <v>2495</v>
      </c>
    </row>
    <row r="101" customFormat="false" ht="15" hidden="false" customHeight="false" outlineLevel="0" collapsed="false">
      <c r="A101" s="62" t="s">
        <v>2496</v>
      </c>
      <c r="B101" s="64" t="s">
        <v>2497</v>
      </c>
    </row>
    <row r="102" customFormat="false" ht="15" hidden="false" customHeight="false" outlineLevel="0" collapsed="false">
      <c r="A102" s="62" t="s">
        <v>2498</v>
      </c>
      <c r="B102" s="64" t="s">
        <v>2499</v>
      </c>
    </row>
    <row r="103" customFormat="false" ht="15" hidden="false" customHeight="false" outlineLevel="0" collapsed="false">
      <c r="A103" s="62" t="s">
        <v>2500</v>
      </c>
      <c r="B103" s="64" t="s">
        <v>2501</v>
      </c>
    </row>
    <row r="104" customFormat="false" ht="15" hidden="false" customHeight="false" outlineLevel="0" collapsed="false">
      <c r="A104" s="62" t="s">
        <v>2502</v>
      </c>
      <c r="B104" s="64" t="s">
        <v>2503</v>
      </c>
    </row>
    <row r="105" customFormat="false" ht="15" hidden="false" customHeight="false" outlineLevel="0" collapsed="false">
      <c r="A105" s="62" t="s">
        <v>2504</v>
      </c>
      <c r="B105" s="64" t="s">
        <v>2505</v>
      </c>
    </row>
    <row r="106" customFormat="false" ht="15" hidden="false" customHeight="false" outlineLevel="0" collapsed="false">
      <c r="A106" s="62" t="s">
        <v>2506</v>
      </c>
      <c r="B106" s="64" t="s">
        <v>2507</v>
      </c>
    </row>
    <row r="107" customFormat="false" ht="23.85" hidden="false" customHeight="false" outlineLevel="0" collapsed="false">
      <c r="A107" s="62" t="s">
        <v>2508</v>
      </c>
      <c r="B107" s="64" t="s">
        <v>2509</v>
      </c>
    </row>
    <row r="108" customFormat="false" ht="15" hidden="false" customHeight="false" outlineLevel="0" collapsed="false">
      <c r="A108" s="62" t="s">
        <v>2510</v>
      </c>
      <c r="B108" s="64" t="s">
        <v>2511</v>
      </c>
    </row>
    <row r="109" customFormat="false" ht="15" hidden="false" customHeight="false" outlineLevel="0" collapsed="false">
      <c r="A109" s="62" t="s">
        <v>2512</v>
      </c>
      <c r="B109" s="64" t="s">
        <v>2513</v>
      </c>
    </row>
    <row r="110" customFormat="false" ht="15" hidden="false" customHeight="false" outlineLevel="0" collapsed="false">
      <c r="A110" s="62" t="s">
        <v>2514</v>
      </c>
      <c r="B110" s="64" t="s">
        <v>2515</v>
      </c>
    </row>
  </sheetData>
  <mergeCells count="1">
    <mergeCell ref="A90:B9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2026-10-25T14:25:19Z</dcterms:created>
  <dc:creator>openpyxl</dc:creator>
  <dc:description/>
  <dc:language>en-US</dc:language>
  <cp:lastModifiedBy/>
  <dcterms:modified xsi:type="dcterms:W3CDTF">2026-10-25T14:25:19Z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